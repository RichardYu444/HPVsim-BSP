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fabian/Documents/GitHub/HPVScreeningProject/"/>
    </mc:Choice>
  </mc:AlternateContent>
  <xr:revisionPtr revIDLastSave="0" documentId="13_ncr:1_{27E927A2-8A8C-E04D-8FF3-3B3127A91572}" xr6:coauthVersionLast="47" xr6:coauthVersionMax="47" xr10:uidLastSave="{00000000-0000-0000-0000-000000000000}"/>
  <bookViews>
    <workbookView xWindow="0" yWindow="760" windowWidth="29400" windowHeight="17240" activeTab="7" xr2:uid="{9CDCC384-B02C-4946-8A51-C0AA91FF93D1}"/>
  </bookViews>
  <sheets>
    <sheet name="README" sheetId="1" r:id="rId1"/>
    <sheet name="States" sheetId="10" r:id="rId2"/>
    <sheet name="Core" sheetId="2" r:id="rId3"/>
    <sheet name="Diagnostics (bio)" sheetId="7" r:id="rId4"/>
    <sheet name="Vaccinations (bio)" sheetId="9" r:id="rId5"/>
    <sheet name="Treatments (bio)" sheetId="8" r:id="rId6"/>
    <sheet name="Compliance (socio)" sheetId="5" r:id="rId7"/>
    <sheet name="Sensitivity analysis"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1" l="1"/>
  <c r="H4" i="11"/>
  <c r="H6" i="11" s="1"/>
  <c r="H10" i="11" s="1"/>
  <c r="H15" i="11" s="1"/>
  <c r="G20" i="11" s="1"/>
  <c r="G25" i="5"/>
  <c r="D24" i="5"/>
  <c r="E25" i="5"/>
  <c r="D25" i="5" s="1"/>
  <c r="Q19" i="5"/>
  <c r="P19" i="5"/>
  <c r="O19" i="5"/>
  <c r="N19" i="5"/>
  <c r="M19" i="5"/>
  <c r="L19" i="5"/>
  <c r="K19" i="5"/>
  <c r="J19" i="5"/>
  <c r="I19" i="5"/>
  <c r="H19" i="5"/>
  <c r="R19" i="5"/>
  <c r="G19" i="5"/>
  <c r="F19" i="5"/>
  <c r="E19" i="5"/>
  <c r="D19"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<sst xmlns="http://schemas.openxmlformats.org/spreadsheetml/2006/main" count="945" uniqueCount="326">
  <si>
    <t>This spreadsheet summarises all the parameters used in our modelling, including their names, interpretations, values, and sources</t>
  </si>
  <si>
    <t>Parameters are organised as follows:</t>
  </si>
  <si>
    <t>SHEET</t>
  </si>
  <si>
    <t>TYPE OF PARAMETER</t>
  </si>
  <si>
    <t>Core</t>
  </si>
  <si>
    <t xml:space="preserve">Sociological modelling parameters relating to internvetion compliance </t>
  </si>
  <si>
    <t>Core parameters used within HPVsim (that is, parameters relating to the fundamental HPV transmission and natural history modelling). Includes the modelling of natural immunity including cross-protection, and core demographic parameters (population, mixing, etc).</t>
  </si>
  <si>
    <t>Name in HPVsim</t>
  </si>
  <si>
    <t>Interpretation</t>
  </si>
  <si>
    <t>Value</t>
  </si>
  <si>
    <t>Notes</t>
  </si>
  <si>
    <t>If Calibrated:</t>
  </si>
  <si>
    <t>If Not Calibrated:</t>
  </si>
  <si>
    <t>Best estimate</t>
  </si>
  <si>
    <t>Lower Bound</t>
  </si>
  <si>
    <t>Upper Bound</t>
  </si>
  <si>
    <t>n_agents</t>
  </si>
  <si>
    <t>Number of agents used to represent the population at any given point in the simulation</t>
  </si>
  <si>
    <t>start</t>
  </si>
  <si>
    <t>Start year of each simulation</t>
  </si>
  <si>
    <t>End year of each simulation</t>
  </si>
  <si>
    <t>Time interval (in years) between timesteps in the simulation</t>
  </si>
  <si>
    <t>end</t>
  </si>
  <si>
    <t>dt</t>
  </si>
  <si>
    <t>Simulating to 2055 so that we can apply up to 5-yearly smoothing (if needed) and still trust values computed at year 2050</t>
  </si>
  <si>
    <t>First vaccination is in 2008 and first data in 2011, so this gives enough burnin</t>
  </si>
  <si>
    <t>Source/Justification</t>
  </si>
  <si>
    <t>Potentially want to increase this even further if we have the compute+time (i.e. depending on how quickly I can calibrate with all the other parameters) to 200e3 to get even better resolution.</t>
  </si>
  <si>
    <t>HPVsim default value. Our data is reported yearly, so this is enough resolution for data replication+projection</t>
  </si>
  <si>
    <t>location</t>
  </si>
  <si>
    <t>Defines demographic information, including immigration patterns (in vs out of country) and population projections</t>
  </si>
  <si>
    <t>united kingdom'</t>
  </si>
  <si>
    <t>Population sizes and age- and sex-specific mortality from 1950-2100 from UN's World Population Projections; birth rates 1950-2100 froim the World Bank (https://docs.idmod.org/projects/hpvsim/en/v2.0.0/tutorials/tut_people.html)</t>
  </si>
  <si>
    <t>HPVsim doesn’t have English demographic data defined in it, but it does have UK demographic data in it. We model with UK birth rates, population size, and age- and sex-specific mortality, and scale all results down by a factor 1.19 to get England-level data. ASSUMPTION: proportion of the UK population attributable to England is constant in the modelled range. No assumptions  relating to English behaviour translating to the rest of the UK are made, as all parameters are calibrated to/picked for english-specific data.</t>
  </si>
  <si>
    <t>debut</t>
  </si>
  <si>
    <t>Distribution of sexual debut ages, split by female and male sexes</t>
  </si>
  <si>
    <t>f: N(16,3.1^2), m: N(16,4.1^2)</t>
  </si>
  <si>
    <t>mixing</t>
  </si>
  <si>
    <t>condoms</t>
  </si>
  <si>
    <t>Mixing layers (forms of sexual mixing which are modelled seperatrely, allowing for the definition of unique sexual mixing characteristics)</t>
  </si>
  <si>
    <t>HPVsim default (version 2.2.4; at some point HPVsim had a 'one off' layer on top of this)</t>
  </si>
  <si>
    <t>m(arried); c(asual)</t>
  </si>
  <si>
    <t>-</t>
  </si>
  <si>
    <t>Sexual mixing matrices, defined in terms of relative mixing probabilities (i.e. ratio between female-male and male-female mixing preference) between age buckets width 5 years. Defined for both 'mixing layers' (forms of mixing): married (above) and casual (below) relationships</t>
  </si>
  <si>
    <t>m:0.17; c:0.50</t>
  </si>
  <si>
    <t>Probability of  condom usage for each sexual act, in each layer (m, c)</t>
  </si>
  <si>
    <t>Difficult to find data, and the data that does exist often contradicts each other. Usage in casual relationships seems to be between 20-60% and in for marriage seems between 2-20%. Have picked the specifically used values according to a somewhat old BMJ article (20 years old): 10.1136/sti.2005.019117. Other sources: https://www.un.org/development/desa/pd/content/contraceptive-use-method-2019, https://doi.org/10.1371/journal.pone.0304952, https://www.who.int/europe/news-room/29-08-2024-alarming-decline-in-adolescent-condom-use--increased-risk-of-sexually-transmitted-infections-and-unintended-pregnancies--reveals-new-who-report</t>
  </si>
  <si>
    <t>ASSUMPTION built into HPVsim model: the event that a given sexual act uses a condom, conditional on the layer in which the act occurs, is IID. This is somehwat unrealistic. This parameter may require a sensitivity anbalysis over different condom usage values, but again this would warrent a recaliobration.</t>
  </si>
  <si>
    <t>eff_condoms</t>
  </si>
  <si>
    <t>Probability (i.i.d) of the usage of condoms in a given act successfully mitigating HPV transmission</t>
  </si>
  <si>
    <t xml:space="preserve">HPVsim default;  appears consistent with literature: https://doi.org/10.1093/infdis/jit191, 10.1056/NEJMoa053284 </t>
  </si>
  <si>
    <t>n_clusters</t>
  </si>
  <si>
    <t>The number of 'clusters' of agents in our model, representingh subpopulations of connectivity</t>
  </si>
  <si>
    <t xml:space="preserve">HPVsim default, and used in other modelling. While clusters can be effective and important for spatial modelling, we will stick with slightly more basic network modelling in this study. </t>
  </si>
  <si>
    <t>Should be noted in discussion that the possibility of clustering (e.g. spatially, or to denote different communities with different sexual characteristics) is a big draw of ABM techniques</t>
  </si>
  <si>
    <t>rel_sizes, add_mixing</t>
  </si>
  <si>
    <t>Cluster-specific parameters that define relative sizes of clusters and inter-cluster mixing</t>
  </si>
  <si>
    <t>n/a</t>
  </si>
  <si>
    <t>These parameters don't matter when we have only 1 cluster</t>
  </si>
  <si>
    <t>Little literature exists on sexual debut age, but this is consistnet with other modelling and the scant information available online which suggests in the UK most debut is at age 16 with about a third of both boys' and girls'  debuts before 16.</t>
  </si>
  <si>
    <t>f_cross_layer, m_cross_layer</t>
  </si>
  <si>
    <t>The proportion of female/male agents who have concurrent cross-layer relationships</t>
  </si>
  <si>
    <t>female: 0.15, male:0.25</t>
  </si>
  <si>
    <t>Very little data available to suggest what these values should be, hence calibrating for them. Data online suggests possibly around 25% of men and 15% of women cheat, however this data is somehwat uncertain and even if true, would be a simplification due to consentual nonmonogamy; still, this provides a starting point for the 'best guess' before calibrating (https://www.techopedia.com/statistics/cheating-statistics). Bounded by 0 and 1 as they are proportions</t>
  </si>
  <si>
    <t>beta</t>
  </si>
  <si>
    <t>per-act probability of HPV transmision</t>
  </si>
  <si>
    <t>Default value of 0.25 carried over from the HPVsim default (which they themselves found through calibration of HPVsim; alebit to a very different demographic and data). Lower bound is 0 as probabilitiy, and upper bound for calibration is 0.5, as this offers a conservatively large range for beta to be in, and also in all test calibrations values near this upper bound never led to high-quality runs</t>
  </si>
  <si>
    <t>framsf2m, transm2f</t>
  </si>
  <si>
    <t xml:space="preserve">Relative HPV tranmissibility of receptive-&gt;inservtive (/insertive-&gt;receptive) partners </t>
  </si>
  <si>
    <t>f2m: 1.0; m2f: 3.69</t>
  </si>
  <si>
    <t>genotypes</t>
  </si>
  <si>
    <t>The genotypes which will be modelled</t>
  </si>
  <si>
    <t>16,18,hi5,ohr</t>
  </si>
  <si>
    <t>cin_fn_k (for each of genotypes 16,18,hi5,ohr)</t>
  </si>
  <si>
    <t>dur_cin_par1 (for each of genotypes 16,18,hi5,ohr)</t>
  </si>
  <si>
    <t>rel_beta(for each of genotypes 16,18,hi5,ohr)</t>
  </si>
  <si>
    <t>relative transmissability of different genotypes (benchmarked relative to hpv16)</t>
  </si>
  <si>
    <t>hpv16: 1.0; hpv18: 0.75</t>
  </si>
  <si>
    <t>hpv16=1.0 by definiition, and hpv18 is the HPVsim default, which is the current estimate from Harvard model calibration of m2f tx (see parameters.py)</t>
  </si>
  <si>
    <t>Calibrating this parameter for AT LEAST hi5 and ohr, as they only have 'placeholder' defaults in HPVsim (see parameters.py). Best estimate for both genotypes is 0.9 as this is what HPVsim has as a default rel_beta for hi5 and ohr</t>
  </si>
  <si>
    <t>hi5: 0.9, ohr:0.9</t>
  </si>
  <si>
    <t>This is being calibrated as suggested in the HPVsim calibration tutorial</t>
  </si>
  <si>
    <t>dur_cin_par2 (for each of genotypes 16,18,hi5,ohr)</t>
  </si>
  <si>
    <t>std parameter of this lognormal distribution (see above)</t>
  </si>
  <si>
    <t>Taken from HPVsim defaults</t>
  </si>
  <si>
    <t>HPVsim gives deafult values of this parameter of either 5 or 4.5 depending on genotype, so starting the search around 5 seems appropriate, with a nice large bound on either side allowing for exploration in this dimension of the parameter space</t>
  </si>
  <si>
    <t>cin_fn' is a function mapping the duration of hpv infection to the probability of developing cin. it is a logistic function constrained to pass thorugh (0,0) and (ttc,y_max), with growth rate k. See utils.py for more</t>
  </si>
  <si>
    <t>Genotype parameters</t>
  </si>
  <si>
    <t>HPVsim defaults are between 0.2 and 0.3, so starting with a default of 0.25 and giving a large range for the parameter search to explore along this dimension</t>
  </si>
  <si>
    <t>cin_fn_ttc (for each of genotypes 16,18,hi5,ohr)</t>
  </si>
  <si>
    <t>cin_fn_y_max (for each of genotypes 16,18,hi5,ohr)</t>
  </si>
  <si>
    <t>see above</t>
  </si>
  <si>
    <t>from HPVsim defaults</t>
  </si>
  <si>
    <t>Model setup</t>
  </si>
  <si>
    <t>Demographic</t>
  </si>
  <si>
    <t xml:space="preserve">Layer-wise </t>
  </si>
  <si>
    <t>Mixing and transmission</t>
  </si>
  <si>
    <t>Note that not all parameters are written here; HPVsim is highly parametersised and this workbook only includes parameters which are either 1) changed from the HPVsim defaults (version 2.2.4), or 2)notable in particular for comparison of modelling assumptions with those in other papers</t>
  </si>
  <si>
    <t>init_hpv_dist</t>
  </si>
  <si>
    <t>Distribution of HPV across the population at initialisation (1980) by modelled genotype (it is renormalised to add to 1 after-the-fact so doesn’t need to be normalised)</t>
  </si>
  <si>
    <t>hi5 = {31,33,45,52,58} (alongside 16,18, this covers all oncogenic types in 9valent vaccine) ; ohr={35,39,51,56,59}</t>
  </si>
  <si>
    <t>hpv16: 2.3, hpv18: 0.9, hi5: 2.2, ohr: 2.1</t>
  </si>
  <si>
    <t>Data taken from Figure 1 HPV Factsheet (or fig 60 from the larger report); for hi5 and ohr we sum over the included genotypes. Two genotypes are not included in this data (33,35), which implies their prevalence in the healthy population is less than 0.4%, so we treat them as zeroes in the sums. We extrapolate HPV incidence by genotype for people with normal cytology to the general population, given the low prevance of low-grade, high-grade, and cancerous lesions in the population, so this forms a fari approximation to the initial genotype prevalence over our 4 modelled 'logical genotypes'. This data is also for UK, not specifically England, so we again assume this carries over (with this assumption strengthend as England makes up the vast majority iof the UK population). Source of data: https://hpvcentre.net/statistics/reports/GBR_FS.pdf, https://hpvcentre.net/statistics/reports/GBR.pdf?t=1667160001618 for the larger report)</t>
  </si>
  <si>
    <t>init_hpv_prev (age brackets)</t>
  </si>
  <si>
    <t>init_hpv_prev (m)</t>
  </si>
  <si>
    <t>init_hpv_prev (f)</t>
  </si>
  <si>
    <t>Initial prevalence of HPV among agents upon simulation startup in 1980. This distribution of HPV over the population is *only* used upon initialisation, and afterwards HPV is transmiitted within the population. This parameter consists of three lists; the first specifies the age bins (as a list of numbers, which is the upper bound of each age bin), the other two lists specify the probability of an agent initialised in 1980 in a corresponding age bin of being iniitalised with HPV (whose genotype is sampled from the multinoulli disitribution init_hpv_dist)</t>
  </si>
  <si>
    <t>HPV factsheet for the UK, taking means from Figure 54, again using the assumption that prevalence for women with normal cervical cytology translates to the general population due to the low prevalence of other cytologies, and the assumption that values for the UK translate to England (https://hpvcentre.net/statistics/reports/GBR.pdf?t=1667160001618)</t>
  </si>
  <si>
    <t>Data for prevalence among men for England by age is hard to find, but it understood generally that prevalence for men is higher than that for women and that it varies less by age, with an increase from 0 to around 25 years old, and then generally stable onwards (e.g.https://doi.org/10.1093/infdis/jix057, Figure 2). Values taken from an estimate from over Europe (Figure 3 in https://doi.org/10.1016/S2214-109X(23)00305-4), which is consistent with the USA estimates in the earlier reference in this cell, so I can be reasonable confident (inckuding with that this is above the predictions for women for UK), that these are reasonaable values</t>
  </si>
  <si>
    <t>burnin</t>
  </si>
  <si>
    <t>The number of years that are to be immediately discarded from any results (with the results not recorded at all) in every simulation</t>
  </si>
  <si>
    <t>A value of at least 20 years is suggested by the HPV documentation</t>
  </si>
  <si>
    <t>use_waning</t>
  </si>
  <si>
    <t>Whether or not to model immunity (from both vaccination and nautral immunity from infection) as staying at the same level over a full lifetime</t>
  </si>
  <si>
    <t>imm_decay</t>
  </si>
  <si>
    <t>dict(form=None)</t>
  </si>
  <si>
    <t>Defines the function which maps 'timesteps since immunity aquireed' to 'waning factor for this form of immmunity to this genotype', where the waning factor is tehm multiplied by the immunity factor</t>
  </si>
  <si>
    <t>General Cancer Treatment</t>
  </si>
  <si>
    <t>all</t>
  </si>
  <si>
    <t>cancerous</t>
  </si>
  <si>
    <t>ablation</t>
  </si>
  <si>
    <t>cin</t>
  </si>
  <si>
    <t>precin</t>
  </si>
  <si>
    <t>latent</t>
  </si>
  <si>
    <t>susceptible</t>
  </si>
  <si>
    <t>inadequate</t>
  </si>
  <si>
    <t>lr</t>
  </si>
  <si>
    <t>negative</t>
  </si>
  <si>
    <t>hr</t>
  </si>
  <si>
    <t>ohr</t>
  </si>
  <si>
    <t>hi5</t>
  </si>
  <si>
    <t>hpv18</t>
  </si>
  <si>
    <t>hpv16</t>
  </si>
  <si>
    <t>positive</t>
  </si>
  <si>
    <t>hpv</t>
  </si>
  <si>
    <t>colposcopy</t>
  </si>
  <si>
    <t>cancer</t>
  </si>
  <si>
    <t>hsil</t>
  </si>
  <si>
    <t>lsil</t>
  </si>
  <si>
    <t>ascus</t>
  </si>
  <si>
    <t>normal</t>
  </si>
  <si>
    <t>abnormal</t>
  </si>
  <si>
    <t>lbc</t>
  </si>
  <si>
    <t>probability</t>
  </si>
  <si>
    <t>result</t>
  </si>
  <si>
    <t>genotype</t>
  </si>
  <si>
    <t>state</t>
  </si>
  <si>
    <t>name</t>
  </si>
  <si>
    <t>Diagnostics (bio)</t>
  </si>
  <si>
    <t>Treatments (bio)</t>
  </si>
  <si>
    <t>Parameters relating to the biology/'natural science' of diagnostic interventions (e.g. sensitivity/specificity of tests)</t>
  </si>
  <si>
    <t>NOTES</t>
  </si>
  <si>
    <t>efficacy</t>
  </si>
  <si>
    <t>nonavalent</t>
  </si>
  <si>
    <t>quadrivalent</t>
  </si>
  <si>
    <t>bivalent</t>
  </si>
  <si>
    <t>rel_imm</t>
  </si>
  <si>
    <t>Vaccinations (bio)</t>
  </si>
  <si>
    <t>Parameters relating to the biology/'natural science' of vaccinations (i.e. relative immunity offered by vaccines for various genotypes)</t>
  </si>
  <si>
    <t>Notes (to be taken away when copying into a CSV to be read by HPVsim)</t>
  </si>
  <si>
    <t>Name in code</t>
  </si>
  <si>
    <t>primary_screen_prob</t>
  </si>
  <si>
    <t>secondary_screen_prob</t>
  </si>
  <si>
    <t>third_screen_prob</t>
  </si>
  <si>
    <t>triage_screen_prob</t>
  </si>
  <si>
    <t>colpo_prob</t>
  </si>
  <si>
    <t>Probability of attending a colposcopy, having been invited due to the outcome of a triage cytology</t>
  </si>
  <si>
    <t>ablate_prob</t>
  </si>
  <si>
    <t>generalcancertreatment_prob</t>
  </si>
  <si>
    <t>Probability of entering the 'general cancer treatment' modelling step (which captures all cancer treatment) following a cancer diagnosis through colposcopy</t>
  </si>
  <si>
    <t>Probability of attending ablation to remove CIN, following HSIL (high stage CIN) diagnosis through colposcopy</t>
  </si>
  <si>
    <t>Parameters relating to the biology/'natural science' of treatment interventions (i.e. efficacy for different input state-genotype pairs)</t>
  </si>
  <si>
    <t>Compliance (socio)</t>
  </si>
  <si>
    <t>16,24, 34, 44, 54, 64, 150</t>
  </si>
  <si>
    <t>0,0.25, 0.14, 0.08, 0.06, 0.06, 0.03</t>
  </si>
  <si>
    <t>0,0.24, 0.32, 0.35, 0.35, 0.35, 0.35</t>
  </si>
  <si>
    <t>No initial prevqalnce 0-16 but that is wqhat the burnin is for. Need to make a note how many of these get a latent immediately, or if theya re all injfectious with precin, because if this includes those with a latent infection, then these values should be larger?</t>
  </si>
  <si>
    <t>Add some notes on how pop is distributed between the groups and hpow risk and behaviour changes between the groups, and check in natsal to check that that is consistnet with english ehaviour on married/not married. Show it represetns a nice bit of heterogeneity in the populatiuon] - layer_probs in parameters.py is this distrigbution!</t>
  </si>
  <si>
    <t>States</t>
  </si>
  <si>
    <t>Internal representation of the 'state' of each agent with respect to aliveness, viral state, and cell state</t>
  </si>
  <si>
    <t>Taken directly from HPVsim 2.2.4 structure (defaults.py)</t>
  </si>
  <si>
    <t>Grouping</t>
  </si>
  <si>
    <t>Viral</t>
  </si>
  <si>
    <t>Cell</t>
  </si>
  <si>
    <t>Derived</t>
  </si>
  <si>
    <t>Values</t>
  </si>
  <si>
    <t>Aliveness</t>
  </si>
  <si>
    <t>alive</t>
  </si>
  <si>
    <t>dead_cancer</t>
  </si>
  <si>
    <t>dead_other</t>
  </si>
  <si>
    <t>emigrated</t>
  </si>
  <si>
    <t>Value Interpretations</t>
  </si>
  <si>
    <t>Agent is alive at the timestep currently under consideration</t>
  </si>
  <si>
    <t>Agent is dead at the timestep currently under consideration; has not died as a result of cervical cancer</t>
  </si>
  <si>
    <t>Agent is dead at the timestep currently under consideration; has died as a result of cervical cancer progression</t>
  </si>
  <si>
    <t>Agent has emigrated from the analysed poplation (England, with the UK demographics rescaled as a proxy) and is no longer under consideration</t>
  </si>
  <si>
    <t>infectious</t>
  </si>
  <si>
    <t>inactive</t>
  </si>
  <si>
    <t>For each of the 'axiomatic' state groupings (aliveness, viral, cell), the grouping is mutually exclusive and collectively exhaustive; forming a formal partition of the set of agents</t>
  </si>
  <si>
    <t>infected</t>
  </si>
  <si>
    <t>Aggregate interpretation (i.e. interpretation of 'sum of all agents at this timestep who have this state as 'True')</t>
  </si>
  <si>
    <t>Population size</t>
  </si>
  <si>
    <t>Cumulative Cancer Deaths</t>
  </si>
  <si>
    <t>Cumulative Deaths from Other Causes</t>
  </si>
  <si>
    <t>Cumulative Emigrated Population</t>
  </si>
  <si>
    <t>Number susceptible to HPV infection</t>
  </si>
  <si>
    <t>Number with Inactive Infection</t>
  </si>
  <si>
    <t>Number Infectious</t>
  </si>
  <si>
    <t>Number with No Cellular Changes</t>
  </si>
  <si>
    <t>Number with Cervical Cancer</t>
  </si>
  <si>
    <t>Number Infected with HPV</t>
  </si>
  <si>
    <t>Number with Detectable Abnormal Cells</t>
  </si>
  <si>
    <t>Number with Latent Infection</t>
  </si>
  <si>
    <t>Agent is in either 'infectious' or 'inactive' partition</t>
  </si>
  <si>
    <t>Agent is in either 'cin' or 'cancerous' partition</t>
  </si>
  <si>
    <t>Agent is in both 'normal' and 'infectious' paritions</t>
  </si>
  <si>
    <t>Agent is susceptible to HPV infection, however does NOT have a current infection (detectable or not)</t>
  </si>
  <si>
    <t>Agent is currently infected with HPV, with a detectably-high viral load</t>
  </si>
  <si>
    <t>Agent is currently infected with HPV, however viral load is sufficiently low to not be detectable</t>
  </si>
  <si>
    <t>Agent has no, or fewer than detectable, abnormal cells</t>
  </si>
  <si>
    <t>Agent has a detectable number of abnormal cells (detectable CIN); not progressed to cervical cancer</t>
  </si>
  <si>
    <t>Agent's disease has developed to cervical cancer</t>
  </si>
  <si>
    <t>Number with Detectable Dysplasia (CIN)</t>
  </si>
  <si>
    <t>Forming a parition of the population according to both viral- and cell-state, we get the following partition:</t>
  </si>
  <si>
    <t>infectious (high viral load), but normal cells</t>
  </si>
  <si>
    <t>no infection, and therefore must have normal cells too (note: "susceptible" == "susceptible AND normal")</t>
  </si>
  <si>
    <t>CIN</t>
  </si>
  <si>
    <t>infection but not infectious (low viral load), therefore must have normal cells too. Note that agents may move between latent and precin as viral load may fluctuate over time</t>
  </si>
  <si>
    <t>HPVsim default</t>
  </si>
  <si>
    <t>Connection to states of other groupings</t>
  </si>
  <si>
    <t>Only people with 'normal' cell state can be susceptible</t>
  </si>
  <si>
    <t>Only people with 'normal' or 'cin' cell state can be infectious</t>
  </si>
  <si>
    <t>Only people with 'normal' cell state, or 'cancer' cell state for at least one genotype, can be inactive</t>
  </si>
  <si>
    <t>A person with normal cell state can have any viral state</t>
  </si>
  <si>
    <t>Only people with infectious or inactive cell viral states are abnormal - but not all people with this viral state as this state just describes any abnormal cell state</t>
  </si>
  <si>
    <t>Number with an infection which is infectious (so 'active' with high viral load) but hasn't yet developed into cell abnormality</t>
  </si>
  <si>
    <t>Only people in the 'inactive' viral state can be in the cancerous cell state</t>
  </si>
  <si>
    <t>Only people with 'infectious' viral state can be in the CIN cell state (so inactive HPV infection can only lead to harm to a person if it first becomes infectious and then CIN may develop)</t>
  </si>
  <si>
    <t>Each viral, cell, and derived state is specific to both an agent and a genotype, e.g. an agent can be susceptible to hpv16 while infected with hpv18. Further, the cell states being specific to genotypes means we can keep track of which genotype to ascribe to the developent of some cancer, while for any agent developing cancer all other genotypes with which the agent is infected will be set to latent (alongside the one that caused the cancer) - so that a cancerous agent has no genotypes in infectious, onyl susceptible or inactive</t>
  </si>
  <si>
    <t>NOTE - we can get latent even with hpv_control_prob = 0: when I run two simulations which are identical other than hpv_control_prob=1 in one of them and hpv_control_prob=0 in the other, and track the number of agents with state 'latent' in each timestep, while it is massively increased for hpv_control_prob=1, it is still nonzero for hpv_control_prob=0. Given all other genotypes are set to inactive when a genotype g causes a lesion which develops into cancer, I supppose this is attributable to the agents who, in the model, are treated for cancer caused by some genotype g (I defined such a treatment seperaetely), and then the other genotypes remain latent. I have verified this by running a sim with cancer treatment effectiveness of 0 and then there are no latent at all.</t>
  </si>
  <si>
    <t>hpv_control_prob</t>
  </si>
  <si>
    <t>Natural History</t>
  </si>
  <si>
    <t>Conditional on a HPV infection being(/appearing to be) cleared in an agent in a given timestep, the probability that the infection will actually be cleared (i.e. the infection is fully removed from the agent) as opposed to being controlled latently (i.e. the agent's viral load for the infection gets too low to be noticed, but the infection may come back)</t>
  </si>
  <si>
    <t>Agent is 'inactive' for this genotype, and has no cancer for any genotype</t>
  </si>
  <si>
    <t>An agent has latent infection with genotype g if they do have infection with this genotype, but their infection has undetectably low viral load - and this low viral load is not a result of cancer's development but rather because the virus itself is 'asleep'. So if an agent has an active infection with genotype g (high viral load) but this or a different genotype develops into cancer (which sets all genotypes to 'inactive'), that is not incorrectly classed as latent infection.</t>
  </si>
  <si>
    <t>As with sexual debut, it is difficult to find information on this. These mixing matrices agree with studies on sexual mixing in their overall trends, and are validated with the fits achieved when HPVsim is parameterised with them</t>
  </si>
  <si>
    <t>We note that we assume no initial prevalence of HPV in the ages 0-16 years old, and note that any note that burnin is set to 20 years. We further ensure that our model keeps prevalance of HPV at the approximately right levels by calibrating to the right number of cancers (including validating to unseen data). Note that out model has almost no agents in the latent state at any one point (with 100k agents, at most 1 agent at latent state at any one point with median number 0 over all the timepoints) - because the only agents in the latent state are those who have cleared cancer and had other genotypes made latent by the now-cleared cancer. Therefore, we can equate the inital HPV prevalence to the observable HPV prevalence - in short because in our modelling, most HPV cases are active</t>
  </si>
  <si>
    <t>We help ensure that out model keeps to a reasonable distribution of HPV genotypes throughout the simulation (in paritcular, after the burnin) by calibrating to the correct distribution of genotypes in the subpopulation of agents with cervical cancer (in the seen data, 2011)</t>
  </si>
  <si>
    <r>
      <t xml:space="preserve">HPVsim default is to leave this undefined. To set it to have a halflife of, say, 20 years, we make its value </t>
    </r>
    <r>
      <rPr>
        <i/>
        <sz val="10"/>
        <color theme="1"/>
        <rFont val="Aptos Narrow"/>
        <scheme val="minor"/>
      </rPr>
      <t>dict(form='exp_decay', 'half_life'=20)</t>
    </r>
    <r>
      <rPr>
        <sz val="10"/>
        <color theme="1"/>
        <rFont val="Aptos Narrow"/>
        <family val="2"/>
        <scheme val="minor"/>
      </rPr>
      <t>, and set use_waning to TRUE</t>
    </r>
  </si>
  <si>
    <t>We note that immunity is modelled in detail and with consideration of factors such as cross-immunity between genotypes. For more detail, we defer to the HPVsim paper/documentation, and we only discuss the most salient aspects relating to our investigation here. The HPVsim default approach to waning is to model it as negligable. If we do use waning with this model, all forms of immunity are considered to follow the same waning characteristics (i.e. immunity dropoff over time) - which is inconsistent with findings that waning from naturally-aquired immunity is larger than that from vaccination-aquired immunity. We take the modelling decision NOT to have waning of any sort in this modelling, noting that throughout the modelling, vaccine-aquired immunity is the core driving factor of immunity and vaccination itself is the focus of our investigation.</t>
  </si>
  <si>
    <t>Immunity</t>
  </si>
  <si>
    <t>Modelled as 0 efficacy for precin (that is, infectious - so infected - but normal cell state), as albation does not remove HPV infection itself.</t>
  </si>
  <si>
    <t>As in https://doi.org/10.1007/s40944-024-00837-6</t>
  </si>
  <si>
    <t>Thermal Ablation cannot treat a lesion that has developed into cancer, as albation only treats the surface</t>
  </si>
  <si>
    <t>Sensitivity Analysis on Efficacies</t>
  </si>
  <si>
    <t>Parameter</t>
  </si>
  <si>
    <t>Primary Value</t>
  </si>
  <si>
    <t>Secondary Values</t>
  </si>
  <si>
    <t>Parameter Category</t>
  </si>
  <si>
    <t>General Cancer Treatment Efficacy</t>
  </si>
  <si>
    <t>Models all treatments following a cancer diagnosis as one general treatment, with a 80% of treatment success, defined as clearance. Performing a sensitivity analysis on this parameter, as there is less literature available to fix its value down</t>
  </si>
  <si>
    <t>Year</t>
  </si>
  <si>
    <t>P(takes 1st dose by age 16)</t>
  </si>
  <si>
    <t>P(takes 2nd dose by age 16 | took first dose by age 16)</t>
  </si>
  <si>
    <t>P(takes 3rd dose by age 16 | took second dose by age 16)</t>
  </si>
  <si>
    <t>GIRLS</t>
  </si>
  <si>
    <t>Vaccination Uptake (modelling uptake of vaccine offered in year X to boys/girls ages 12-13) - source for data 2010-2021:         ^https://immunizationdata.who.int/global/wiise-detail-page/human-papillomavirus-(hpv)-vaccination-coverage, accessed 24 Oct 2022, else extrapolating</t>
  </si>
  <si>
    <t>2025+</t>
  </si>
  <si>
    <t>BOYS</t>
  </si>
  <si>
    <t>Girls' uptake in 2008 and 2009 are extrapolated using copying from 2010, as is boys' uptake in 2019 from 2020. Data for first dose and completion is available, so in years where completion of vaccination requires three doses, we assume all those who have two doses additionally have their final dose - given the very small modelled difference between two and three doses, this is negligable as a difference. Data is used until 2021, beyond which we assume fixed rate of future vaccination</t>
  </si>
  <si>
    <t>NOTE: 0.8 from 2022 onwards is to be swapped with 0.6 and 0.9 as sensitivity analysis.</t>
  </si>
  <si>
    <t>Sensitivity analysis on vaccine uptake from 2022 onwards</t>
  </si>
  <si>
    <t>P(takes 1st dose by age 16), years 2022+</t>
  </si>
  <si>
    <t>0.6, 0.9</t>
  </si>
  <si>
    <t>Justification</t>
  </si>
  <si>
    <t>HPVsim models 'coloposcopy' to mean 'colposcopy with biopsy', colposcopy on its own is not modelled</t>
  </si>
  <si>
    <t>Probability that someone, following a +ve screen and invited to a cytology followup, will have a cytology in that timestep</t>
  </si>
  <si>
    <t>In the NHS system, HPV +ve samples are automatically sent to cytology</t>
  </si>
  <si>
    <t>Senstivity analysis: 0.8, 0.95</t>
  </si>
  <si>
    <t>Senstivity analysis: 0.6,0.9</t>
  </si>
  <si>
    <t>Sensitivity analysis: 0.6,0.9</t>
  </si>
  <si>
    <t>Age under 50: 68%, Age 50 or over: 76%</t>
  </si>
  <si>
    <t>Uptake of primary screening has hovered pretty consistently around these values between 2016 and 2024:  https://www.gov.uk/government/publications/cervical-screening-standards-data-report-2023-to-2024/cervical-screening-standards-data-report-2023-to-2024</t>
  </si>
  <si>
    <t>Core scenarios for analysis in main text body</t>
  </si>
  <si>
    <t>Sensitivity Analysis on Screening Algorothm Compliance</t>
  </si>
  <si>
    <t>0.6,0.9</t>
  </si>
  <si>
    <t>0.8,0.95</t>
  </si>
  <si>
    <t>(Liquid-Based) Cytology. taken directly from HPVsim. We note that 'inadequate' outcomes are not modelled as they are very rare (we are not considering self-sampling in our modelling as this is to date not part of screening policy), and to include would therefore unnecessarily complicate the modelling - see rates less than 1% in https://www.gov.uk/government/publications/cervical-screening-standards-data-report-2023-to-2024/cervical-screening-standards-data-report-2023-to-2024. Senstivity and specificity in literature is 0.85 and 0.9 respectively (for detecting HSILs), and 100% sensitivty for detecting. cancer; HPVsim paper Table G. We therefore model the probability of a normal result as 0.15 for CIN, as 0 for cancerous, and as 0.9 for susceptible and latent. Our pathway modelling makes no distinction between the outcomes 'ascus' and 'abnormal', in both cases leading to colposcopy, so we (arbitarily picking ascus) set 'ascus' probability to always 0.</t>
  </si>
  <si>
    <t>rel_imm specifies how much immunity each vaccine confers to each specified genotype. Values taken from HPVsim paper, which is informed by the Costa Rica HPV Vaccine trial. Sensitivity analysis considers ohr cross protection of 0.</t>
  </si>
  <si>
    <t>bivalent ohr rel_imm</t>
  </si>
  <si>
    <t>quadrivalent ohr rel_imm</t>
  </si>
  <si>
    <t>nonavalent ohr rel_imm</t>
  </si>
  <si>
    <t>These parameters are to be varied together, that is either we model the vaccines to all confer some ohr immunity or to all not.</t>
  </si>
  <si>
    <t>0.8, 0.95</t>
  </si>
  <si>
    <t>Cases</t>
  </si>
  <si>
    <t>Total cases if we do one-v-standard SA</t>
  </si>
  <si>
    <t>Total cases if we do full SA grid</t>
  </si>
  <si>
    <t>Cumulative crossed cases</t>
  </si>
  <si>
    <t>This has been added to the code and I have verified it works because when I set all the numbers to 0 we get no effect (same projections as if not vaccinating)</t>
  </si>
  <si>
    <t>Colposcopy. taken directly from HPVsim.  We note that 'inadequate' outcomes are not modelled as they are very rare (we are not considering self-sampling in our modelling as this is to date not part of screening policy), and to include would therefore unnecessarily complicate the modelling - see rates less than 1% in https://www.gov.uk/government/publications/cervical-screening-standards-data-report-2023-to-2024/cervical-screening-standards-data-report-2023-to-2024. Meta analysis finds senstivity at 0.95 and specifificy at 0.42 (https://pubmed.ncbi.nlm.nih.gov/26851054/) - probabiltiies are based on this. Our modelling only acts on two outcomes from colposcopies - 'hsil' (prompting ablation) or 'cancer' (prompting general cancer treatment) (or 'normal'); accordingly, we assign no probability mass to ascus or lsil (clarifing the degrees of freedom for choosing parameters here)</t>
  </si>
  <si>
    <t>This has been added to the code and I have verified it works because when I change the numbers of both the HPV test and the colposcopies we get the desired effects :)</t>
  </si>
  <si>
    <t>HPVsim models each agent as having different states of disease progression, tracking the attribution of a state to a given genotype's infection (e.g. it differentiates between being cancerous due to hpv16 infection and being cancerous due to hi5 infection). Therefore, diagnostic outcome is a random function of (state, genotype) pairs. This sheet defines the function, in the same format as can be directly read by HPVsim - implemented by changing the file data/products_dx in the hpvsim installation used</t>
  </si>
  <si>
    <t>Implemented by changing the file data/products_vx in the hpvsim installation used</t>
  </si>
  <si>
    <t>We need this to give at least 20 years' burnin before we trust yearly simulation output (HPVsim docs). We have run test simulations starting in 1960, with interventions started in 1960 for comparable conditions, and we see no significnat changes in cancer counts and infection counts (including split by age and genotype) in the years 2020-2055, so can conclude starting in 1980 provides sufficient burnin</t>
  </si>
  <si>
    <t>Implemented maually in the code in InterventionAlgorithms/GlobalScreeningParameters.py</t>
  </si>
  <si>
    <t>Implemented by changing the file data/products_tx in the hpvsim installation used for ablation, and for the general cancer treatment needs to be implemented in the code (InterventionAlgorithms/GlobalScreeningParameters.py)</t>
  </si>
  <si>
    <t>primary_screen_prob_under50</t>
  </si>
  <si>
    <t>primary_screen_prob_50andover</t>
  </si>
  <si>
    <t>0.68,0.8</t>
  </si>
  <si>
    <t>0.76,0.8</t>
  </si>
  <si>
    <t>To be considered as 3 cases - low compliance, mid compliance, high compliance. Note the target of 80% primary screen coverage, prompting the primary screening senstivitiy analysis</t>
  </si>
  <si>
    <t>The denominator in these proportions include those who have opted out of screening. Our modelling doesn't excplitily consider screening opt-outs, instead at each timestep each invited individual has a 0.68 (or 0.76) independnat probability of taking up screening. Further note that we only model primary screening as occuring after an invite from the regular screening porgramme; we justify this as we are modellign changes to the programme itself and not people presenting with issues and being referred to screening - however this means we do not model this 10-15% of primary screenings annually.</t>
  </si>
  <si>
    <t>NOTE: If I can change a parameter in the sensitivyt analysis (/a batch of them) and still get a good fit with the output of an old calibration, then we can do a sort of reverse sensiiuvty analysis where we see that changing these SA parameters doesn’t change output significnatly and (although this doesnt rule out a newly revealed valley in the loss landscape) - givign us less full calobrations we need to do</t>
  </si>
  <si>
    <t>abandon_followup_invites_threshold</t>
  </si>
  <si>
    <t>The number of years until we stop following up a person offered a secondary or third screen.</t>
  </si>
  <si>
    <t>If a person is due a followup screen at timestep T, we model an invite as going out at that timestep. If they do not take it up, another invite is sent out at timestep T+1/dt (i.e. 1 year later), and this continues until we have reached abandon_followup_invites_threshold (inclusive; so setting abandon_followup_invites_threshold to 0 means we don't follow up, but still send the initial invites). The year-by-year probabilities of an agent following through on a particular invite depend on secondary_screen_prob and third_screen_prob respectively, and we compute them assuming agents are i.i.d to not respond to an invite</t>
  </si>
  <si>
    <r>
      <t xml:space="preserve">Probability that a given screening -eligible person will take up screening </t>
    </r>
    <r>
      <rPr>
        <i/>
        <sz val="10"/>
        <color theme="1"/>
        <rFont val="Aptos Narrow"/>
        <scheme val="minor"/>
      </rPr>
      <t>in a given timestep</t>
    </r>
    <r>
      <rPr>
        <sz val="10"/>
        <color theme="1"/>
        <rFont val="Aptos Narrow"/>
        <family val="2"/>
        <scheme val="minor"/>
      </rPr>
      <t xml:space="preserve"> in which they are eligible (for routine, primary screening)</t>
    </r>
  </si>
  <si>
    <r>
      <t xml:space="preserve">Probability that a given person eligible for a followup screen (that is, following a +ve primary screen and normal cytology)  will take up the screening </t>
    </r>
    <r>
      <rPr>
        <i/>
        <sz val="10"/>
        <color theme="1"/>
        <rFont val="Aptos Narrow"/>
        <scheme val="minor"/>
      </rPr>
      <t>at all</t>
    </r>
    <r>
      <rPr>
        <sz val="10"/>
        <color theme="1"/>
        <rFont val="Aptos Narrow"/>
        <family val="2"/>
        <scheme val="minor"/>
      </rPr>
      <t xml:space="preserve">. </t>
    </r>
  </si>
  <si>
    <r>
      <t xml:space="preserve">Probability that a given person eligible for a second followup screen (that is, following a +ve primary screen,normal cytology, +ve followup screen, and normal cytology)  will take up the screening </t>
    </r>
    <r>
      <rPr>
        <i/>
        <sz val="10"/>
        <color theme="1"/>
        <rFont val="Aptos Narrow"/>
        <scheme val="minor"/>
      </rPr>
      <t>at all</t>
    </r>
    <r>
      <rPr>
        <sz val="10"/>
        <color theme="1"/>
        <rFont val="Aptos Narrow"/>
        <family val="2"/>
        <scheme val="minor"/>
      </rPr>
      <t xml:space="preserve">. </t>
    </r>
  </si>
  <si>
    <t>This means each agent with cancer represents around 30 people in the population, and each healthy agent represents around 300 people, which is about the right resolution to get the age-level numbers for representing the data we want to calibrate to, erring on the side of caution with a bit higher rather than a bit lower resolution</t>
  </si>
  <si>
    <t>HPVsim default; keeping the same as this should be the same as when they calibrated the values initially, once we account for different beta and things (as this is just relative transmissibilituy, not absolute transmissibility). HPVsim's value is also based on literature, asnthey mention in parameters.py (https://doi.org/10.1038/srep10986)</t>
  </si>
  <si>
    <t>dur_cin' refers to the (randomly-sampled) duration of hpv infection with CIN prior to cancer. It is lognormal(4.5, 20^2) by default in HPVsim; and we are calibrating the mean (par1) of this lognormal distribution</t>
  </si>
  <si>
    <t>I think I absolutely do need to consider the two vaccination cases, where there is and isnt cross protection offered to ohr types, with a full alternative cal for both options!! (tho note that maybe this makes little difference due to the low vaccine uptake at the point where there is data to which we fit, so mayeb IO can easily justify that the same parameters work in both cases with a bit og GOF calculation - but then I still need final results for both options for sure, because these are two key options which deffo could be assumed to make a big difference in our final outcome!</t>
  </si>
  <si>
    <t>f</t>
  </si>
  <si>
    <t>HPV DNA screening. Sensitivity is 0.94, so for precin, cin, and cancerous states there is a 94% probability of positive result. Specificity is 0.88, so for susceptible and latent states (i.e. no detectible infection), we have 12% probablity of a positive result. This data is from the meta-analysis of 10.1016/j.ijgo.2015.07.024; https://pubmed.ncbi.nlm.nih.gov/26851054/</t>
  </si>
  <si>
    <t>Sensitivity Analysis on Vaccine-Conferred OHR immunity - written as two cases explciitly in the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</si>
</sst>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x14ac:knownFonts="1">
    <font>
      <sz val="12"/>
      <color theme="1"/>
      <name val="Aptos Narrow"/>
      <family val="2"/>
      <scheme val="minor"/>
    </font>
    <font>
      <b/>
      <sz val="12"/>
      <color theme="1"/>
      <name val="Aptos Narrow"/>
      <scheme val="minor"/>
    </font>
    <font>
      <sz val="12"/>
      <color theme="1"/>
      <name val="Aptos Narrow"/>
      <family val="2"/>
      <scheme val="minor"/>
    </font>
    <font>
      <sz val="10"/>
      <color theme="1"/>
      <name val="Aptos Narrow"/>
      <family val="2"/>
      <scheme val="minor"/>
    </font>
    <font>
      <i/>
      <sz val="10"/>
      <color theme="1"/>
      <name val="Aptos Narrow"/>
      <scheme val="minor"/>
    </font>
    <font>
      <sz val="12"/>
      <color theme="1"/>
      <name val="Aptos Narrow"/>
      <scheme val="minor"/>
    </font>
    <font>
      <i/>
      <sz val="12"/>
      <color theme="1"/>
      <name val="Aptos Narrow"/>
      <scheme val="minor"/>
    </font>
    <font>
      <sz val="12"/>
      <color rgb="FFCE9178"/>
      <name val="Menlo"/>
      <family val="2"/>
    </font>
    <font>
      <b/>
      <sz val="10"/>
      <color theme="1"/>
      <name val="Aptos Narrow"/>
      <scheme val="minor"/>
    </font>
    <font>
      <sz val="10"/>
      <color theme="1"/>
      <name val="Aptos Narrow"/>
      <scheme val="minor"/>
    </font>
  </fonts>
  <fills count="10">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000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ck">
        <color indexed="64"/>
      </right>
      <top/>
      <bottom style="medium">
        <color indexed="64"/>
      </bottom>
      <diagonal/>
    </border>
    <border>
      <left/>
      <right style="thick">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right style="thin">
        <color indexed="64"/>
      </right>
      <top/>
      <bottom style="medium">
        <color indexed="64"/>
      </bottom>
      <diagonal/>
    </border>
    <border>
      <left style="thick">
        <color indexed="64"/>
      </left>
      <right style="thick">
        <color indexed="64"/>
      </right>
      <top style="thin">
        <color indexed="64"/>
      </top>
      <bottom/>
      <diagonal/>
    </border>
    <border>
      <left style="thick">
        <color indexed="64"/>
      </left>
      <right style="thick">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ck">
        <color indexed="64"/>
      </left>
      <right style="thick">
        <color indexed="64"/>
      </right>
      <top style="thin">
        <color indexed="64"/>
      </top>
      <bottom style="thin">
        <color indexed="64"/>
      </bottom>
      <diagonal/>
    </border>
    <border>
      <left/>
      <right style="thin">
        <color indexed="64"/>
      </right>
      <top/>
      <bottom/>
      <diagonal/>
    </border>
    <border>
      <left style="thin">
        <color indexed="64"/>
      </left>
      <right style="thick">
        <color indexed="64"/>
      </right>
      <top/>
      <bottom/>
      <diagonal/>
    </border>
    <border>
      <left style="thick">
        <color indexed="64"/>
      </left>
      <right style="thick">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diagonal/>
    </border>
    <border>
      <left/>
      <right/>
      <top/>
      <bottom style="thin">
        <color indexed="64"/>
      </bottom>
      <diagonal/>
    </border>
    <border>
      <left style="thick">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indexed="64"/>
      </top>
      <bottom style="thin">
        <color indexed="64"/>
      </bottom>
      <diagonal/>
    </border>
    <border>
      <left style="thick">
        <color indexed="64"/>
      </left>
      <right/>
      <top style="thin">
        <color indexed="64"/>
      </top>
      <bottom/>
      <diagonal/>
    </border>
    <border>
      <left style="thick">
        <color indexed="64"/>
      </left>
      <right/>
      <top/>
      <bottom style="medium">
        <color indexed="64"/>
      </bottom>
      <diagonal/>
    </border>
    <border>
      <left style="thick">
        <color indexed="64"/>
      </left>
      <right/>
      <top style="medium">
        <color indexed="64"/>
      </top>
      <bottom style="thin">
        <color indexed="64"/>
      </bottom>
      <diagonal/>
    </border>
    <border>
      <left/>
      <right/>
      <top style="medium">
        <color indexed="64"/>
      </top>
      <bottom style="thin">
        <color indexed="64"/>
      </bottom>
      <diagonal/>
    </border>
    <border>
      <left/>
      <right style="thick">
        <color indexed="64"/>
      </right>
      <top style="medium">
        <color indexed="64"/>
      </top>
      <bottom style="thin">
        <color indexed="64"/>
      </bottom>
      <diagonal/>
    </border>
    <border>
      <left style="thick">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thick">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ck">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64"/>
      </right>
      <top style="medium">
        <color indexed="64"/>
      </top>
      <bottom style="thin">
        <color indexed="64"/>
      </bottom>
      <diagonal/>
    </border>
  </borders>
  <cellStyleXfs count="2">
    <xf numFmtId="0" fontId="0" fillId="0" borderId="0"/>
    <xf numFmtId="43" fontId="2" fillId="0" borderId="0" applyFont="0" applyFill="0" applyBorder="0" applyAlignment="0" applyProtection="0"/>
  </cellStyleXfs>
  <cellXfs count="281">
    <xf numFmtId="0" fontId="0" fillId="0" borderId="0" xfId="0"/>
    <xf numFmtId="0" fontId="1" fillId="0" borderId="1" xfId="0" applyFont="1" applyBorder="1"/>
    <xf numFmtId="0" fontId="0" fillId="0" borderId="1" xfId="0" applyBorder="1" applyAlignment="1">
      <alignment horizontal="center"/>
    </xf>
    <xf numFmtId="0" fontId="0" fillId="0" borderId="1" xfId="0" applyBorder="1" applyAlignment="1">
      <alignment horizontal="left" wrapText="1"/>
    </xf>
    <xf numFmtId="0" fontId="0" fillId="0" borderId="1" xfId="0" applyBorder="1"/>
    <xf numFmtId="0" fontId="0" fillId="0" borderId="0" xfId="0" applyAlignment="1">
      <alignment wrapText="1"/>
    </xf>
    <xf numFmtId="0" fontId="0" fillId="0" borderId="16" xfId="0" applyBorder="1"/>
    <xf numFmtId="0" fontId="3" fillId="0" borderId="0" xfId="0" applyFont="1"/>
    <xf numFmtId="0" fontId="0" fillId="0" borderId="17" xfId="0" applyBorder="1"/>
    <xf numFmtId="0" fontId="0" fillId="0" borderId="13" xfId="0" applyBorder="1"/>
    <xf numFmtId="0" fontId="3" fillId="0" borderId="0" xfId="0" applyFont="1" applyAlignment="1">
      <alignment vertical="top"/>
    </xf>
    <xf numFmtId="0" fontId="0" fillId="0" borderId="1" xfId="0" applyBorder="1" applyAlignment="1">
      <alignment horizontal="center" vertical="center"/>
    </xf>
    <xf numFmtId="0" fontId="1" fillId="0" borderId="0" xfId="0" applyFont="1"/>
    <xf numFmtId="0" fontId="1" fillId="0" borderId="13" xfId="0" applyFont="1" applyBorder="1"/>
    <xf numFmtId="0" fontId="0" fillId="2" borderId="0" xfId="0" applyFill="1"/>
    <xf numFmtId="0" fontId="0" fillId="2" borderId="1" xfId="0" applyFill="1" applyBorder="1"/>
    <xf numFmtId="0" fontId="0" fillId="2" borderId="3" xfId="0" applyFill="1" applyBorder="1"/>
    <xf numFmtId="0" fontId="0" fillId="0" borderId="31" xfId="0" applyBorder="1"/>
    <xf numFmtId="0" fontId="0" fillId="2" borderId="33" xfId="0" applyFill="1" applyBorder="1"/>
    <xf numFmtId="0" fontId="0" fillId="2" borderId="38" xfId="0" applyFill="1" applyBorder="1"/>
    <xf numFmtId="0" fontId="0" fillId="2" borderId="39" xfId="0" applyFill="1" applyBorder="1"/>
    <xf numFmtId="0" fontId="0" fillId="3" borderId="33" xfId="0" applyFill="1" applyBorder="1"/>
    <xf numFmtId="0" fontId="0" fillId="3" borderId="3" xfId="0" applyFill="1" applyBorder="1"/>
    <xf numFmtId="0" fontId="0" fillId="3" borderId="0" xfId="0" applyFill="1"/>
    <xf numFmtId="0" fontId="0" fillId="3" borderId="38" xfId="0" applyFill="1" applyBorder="1"/>
    <xf numFmtId="0" fontId="0" fillId="3" borderId="39" xfId="0" applyFill="1" applyBorder="1"/>
    <xf numFmtId="0" fontId="0" fillId="3" borderId="1" xfId="0" applyFill="1" applyBorder="1"/>
    <xf numFmtId="0" fontId="1" fillId="0" borderId="31" xfId="0" applyFont="1" applyBorder="1"/>
    <xf numFmtId="0" fontId="1" fillId="0" borderId="16" xfId="0" applyFont="1" applyBorder="1"/>
    <xf numFmtId="0" fontId="1" fillId="0" borderId="34" xfId="0" applyFont="1" applyBorder="1"/>
    <xf numFmtId="0" fontId="1" fillId="0" borderId="35" xfId="0" applyFont="1" applyBorder="1"/>
    <xf numFmtId="0" fontId="0" fillId="4" borderId="0" xfId="0" applyFill="1"/>
    <xf numFmtId="0" fontId="0" fillId="4" borderId="32" xfId="0" applyFill="1" applyBorder="1"/>
    <xf numFmtId="0" fontId="0" fillId="4" borderId="7" xfId="0" applyFill="1" applyBorder="1"/>
    <xf numFmtId="0" fontId="0" fillId="4" borderId="33" xfId="0" applyFill="1" applyBorder="1"/>
    <xf numFmtId="0" fontId="0" fillId="4" borderId="3" xfId="0" applyFill="1" applyBorder="1"/>
    <xf numFmtId="0" fontId="0" fillId="4" borderId="36" xfId="0" applyFill="1" applyBorder="1"/>
    <xf numFmtId="0" fontId="0" fillId="4" borderId="37" xfId="0" applyFill="1" applyBorder="1"/>
    <xf numFmtId="0" fontId="0" fillId="4" borderId="5" xfId="0" applyFill="1" applyBorder="1"/>
    <xf numFmtId="0" fontId="0" fillId="4" borderId="38" xfId="0" applyFill="1" applyBorder="1"/>
    <xf numFmtId="0" fontId="0" fillId="4" borderId="39" xfId="0" applyFill="1" applyBorder="1"/>
    <xf numFmtId="0" fontId="0" fillId="4" borderId="1" xfId="0" applyFill="1" applyBorder="1"/>
    <xf numFmtId="0" fontId="0" fillId="0" borderId="41" xfId="0" applyBorder="1"/>
    <xf numFmtId="0" fontId="0" fillId="4" borderId="42" xfId="0" applyFill="1" applyBorder="1"/>
    <xf numFmtId="0" fontId="0" fillId="4" borderId="43" xfId="0" applyFill="1" applyBorder="1"/>
    <xf numFmtId="0" fontId="0" fillId="3" borderId="43" xfId="0" applyFill="1" applyBorder="1"/>
    <xf numFmtId="0" fontId="0" fillId="3" borderId="1" xfId="0" applyFill="1" applyBorder="1" applyAlignment="1">
      <alignment horizontal="left" vertical="top" wrapText="1"/>
    </xf>
    <xf numFmtId="0" fontId="0" fillId="0" borderId="1" xfId="0" applyBorder="1" applyAlignment="1">
      <alignment wrapText="1"/>
    </xf>
    <xf numFmtId="0" fontId="5" fillId="0" borderId="5" xfId="0" applyFont="1" applyBorder="1"/>
    <xf numFmtId="0" fontId="0" fillId="5" borderId="5" xfId="0" applyFill="1" applyBorder="1" applyAlignment="1">
      <alignment wrapText="1"/>
    </xf>
    <xf numFmtId="0" fontId="0" fillId="5" borderId="1" xfId="0" applyFill="1" applyBorder="1" applyAlignment="1">
      <alignment wrapText="1"/>
    </xf>
    <xf numFmtId="0" fontId="0" fillId="2"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1" fillId="0" borderId="13" xfId="0" applyFont="1" applyBorder="1" applyAlignment="1">
      <alignment wrapText="1"/>
    </xf>
    <xf numFmtId="0" fontId="1" fillId="0" borderId="16" xfId="0" applyFont="1" applyBorder="1" applyAlignment="1">
      <alignment wrapText="1"/>
    </xf>
    <xf numFmtId="0" fontId="0" fillId="5" borderId="7" xfId="0" applyFill="1" applyBorder="1" applyAlignment="1">
      <alignment wrapText="1"/>
    </xf>
    <xf numFmtId="0" fontId="0" fillId="5" borderId="3" xfId="0" applyFill="1" applyBorder="1" applyAlignment="1">
      <alignment wrapText="1"/>
    </xf>
    <xf numFmtId="0" fontId="0" fillId="2" borderId="3" xfId="0" applyFill="1" applyBorder="1" applyAlignment="1">
      <alignment wrapText="1"/>
    </xf>
    <xf numFmtId="0" fontId="0" fillId="6" borderId="3" xfId="0" applyFill="1" applyBorder="1" applyAlignment="1">
      <alignment wrapText="1"/>
    </xf>
    <xf numFmtId="0" fontId="0" fillId="7" borderId="3" xfId="0" applyFill="1" applyBorder="1" applyAlignment="1">
      <alignment wrapText="1"/>
    </xf>
    <xf numFmtId="0" fontId="1" fillId="0" borderId="45" xfId="0" applyFont="1" applyBorder="1" applyAlignment="1">
      <alignment wrapText="1"/>
    </xf>
    <xf numFmtId="0" fontId="0" fillId="5" borderId="37" xfId="0" applyFill="1" applyBorder="1" applyAlignment="1">
      <alignment wrapText="1"/>
    </xf>
    <xf numFmtId="0" fontId="0" fillId="5" borderId="39" xfId="0" applyFill="1" applyBorder="1" applyAlignment="1">
      <alignment wrapText="1"/>
    </xf>
    <xf numFmtId="0" fontId="0" fillId="2" borderId="39" xfId="0" applyFill="1" applyBorder="1" applyAlignment="1">
      <alignment wrapText="1"/>
    </xf>
    <xf numFmtId="0" fontId="0" fillId="6" borderId="39" xfId="0" applyFill="1" applyBorder="1" applyAlignment="1">
      <alignment wrapText="1"/>
    </xf>
    <xf numFmtId="0" fontId="0" fillId="7" borderId="39" xfId="0" applyFill="1" applyBorder="1" applyAlignment="1">
      <alignment wrapText="1"/>
    </xf>
    <xf numFmtId="0" fontId="0" fillId="0" borderId="50" xfId="0" applyBorder="1"/>
    <xf numFmtId="0" fontId="0" fillId="0" borderId="51" xfId="0" applyBorder="1"/>
    <xf numFmtId="0" fontId="0" fillId="0" borderId="52" xfId="0" applyBorder="1"/>
    <xf numFmtId="0" fontId="0" fillId="0" borderId="53" xfId="0" applyBorder="1"/>
    <xf numFmtId="0" fontId="0" fillId="0" borderId="54" xfId="0" applyBorder="1"/>
    <xf numFmtId="0" fontId="1" fillId="0" borderId="47" xfId="0" applyFont="1" applyBorder="1" applyAlignment="1">
      <alignment wrapText="1"/>
    </xf>
    <xf numFmtId="0" fontId="1" fillId="0" borderId="53" xfId="0" applyFont="1" applyBorder="1"/>
    <xf numFmtId="0" fontId="0" fillId="0" borderId="0" xfId="0" applyAlignment="1">
      <alignment horizontal="left"/>
    </xf>
    <xf numFmtId="0" fontId="0" fillId="0" borderId="50" xfId="0" applyBorder="1" applyAlignment="1">
      <alignment horizontal="left"/>
    </xf>
    <xf numFmtId="0" fontId="0" fillId="7" borderId="44" xfId="0" applyFill="1" applyBorder="1" applyAlignment="1">
      <alignment wrapText="1"/>
    </xf>
    <xf numFmtId="0" fontId="0" fillId="7" borderId="40" xfId="0" applyFill="1" applyBorder="1" applyAlignment="1">
      <alignment wrapText="1"/>
    </xf>
    <xf numFmtId="0" fontId="3" fillId="5" borderId="9" xfId="0" applyFont="1" applyFill="1" applyBorder="1" applyAlignment="1">
      <alignment wrapText="1"/>
    </xf>
    <xf numFmtId="0" fontId="3" fillId="5" borderId="11" xfId="0" applyFont="1" applyFill="1" applyBorder="1" applyAlignment="1">
      <alignment wrapText="1"/>
    </xf>
    <xf numFmtId="11" fontId="3" fillId="5" borderId="7" xfId="0" applyNumberFormat="1" applyFont="1" applyFill="1" applyBorder="1" applyAlignment="1">
      <alignment wrapText="1"/>
    </xf>
    <xf numFmtId="0" fontId="3" fillId="5" borderId="7" xfId="0" applyFont="1" applyFill="1" applyBorder="1" applyAlignment="1">
      <alignment wrapText="1"/>
    </xf>
    <xf numFmtId="0" fontId="3" fillId="5" borderId="5" xfId="0" applyFont="1" applyFill="1" applyBorder="1" applyAlignment="1">
      <alignment wrapText="1"/>
    </xf>
    <xf numFmtId="0" fontId="3" fillId="5" borderId="0" xfId="0" applyFont="1" applyFill="1" applyAlignment="1">
      <alignment wrapText="1"/>
    </xf>
    <xf numFmtId="0" fontId="3" fillId="5" borderId="2" xfId="0" applyFont="1" applyFill="1" applyBorder="1" applyAlignment="1">
      <alignment wrapText="1"/>
    </xf>
    <xf numFmtId="0" fontId="3" fillId="5" borderId="12" xfId="0" applyFont="1" applyFill="1" applyBorder="1" applyAlignment="1">
      <alignment wrapText="1"/>
    </xf>
    <xf numFmtId="0" fontId="3" fillId="5" borderId="3" xfId="0" applyFont="1" applyFill="1" applyBorder="1" applyAlignment="1">
      <alignment wrapText="1"/>
    </xf>
    <xf numFmtId="0" fontId="3" fillId="5" borderId="1" xfId="0" applyFont="1" applyFill="1" applyBorder="1" applyAlignment="1">
      <alignment wrapText="1"/>
    </xf>
    <xf numFmtId="0" fontId="3" fillId="3" borderId="2" xfId="0" applyFont="1" applyFill="1" applyBorder="1" applyAlignment="1">
      <alignment wrapText="1"/>
    </xf>
    <xf numFmtId="0" fontId="3" fillId="3" borderId="12" xfId="0" applyFont="1" applyFill="1" applyBorder="1" applyAlignment="1">
      <alignment wrapText="1"/>
    </xf>
    <xf numFmtId="0" fontId="3" fillId="3" borderId="3" xfId="0" applyFont="1" applyFill="1" applyBorder="1" applyAlignment="1">
      <alignment wrapText="1"/>
    </xf>
    <xf numFmtId="0" fontId="3" fillId="3" borderId="0" xfId="0" applyFont="1" applyFill="1" applyAlignment="1">
      <alignment wrapText="1"/>
    </xf>
    <xf numFmtId="0" fontId="3" fillId="2" borderId="0" xfId="0" applyFont="1" applyFill="1" applyAlignment="1">
      <alignment vertical="top" wrapText="1"/>
    </xf>
    <xf numFmtId="0" fontId="3" fillId="2" borderId="2" xfId="0" applyFont="1" applyFill="1" applyBorder="1" applyAlignment="1">
      <alignment wrapText="1"/>
    </xf>
    <xf numFmtId="0" fontId="3" fillId="2" borderId="12" xfId="0" applyFont="1" applyFill="1" applyBorder="1" applyAlignment="1">
      <alignment wrapText="1"/>
    </xf>
    <xf numFmtId="0" fontId="3" fillId="2" borderId="3" xfId="0" quotePrefix="1" applyFont="1" applyFill="1" applyBorder="1" applyAlignment="1">
      <alignment wrapText="1"/>
    </xf>
    <xf numFmtId="0" fontId="3" fillId="2" borderId="3" xfId="0" applyFont="1" applyFill="1" applyBorder="1" applyAlignment="1">
      <alignment wrapText="1"/>
    </xf>
    <xf numFmtId="0" fontId="3" fillId="2" borderId="1" xfId="0" applyFont="1" applyFill="1" applyBorder="1" applyAlignment="1">
      <alignment wrapText="1"/>
    </xf>
    <xf numFmtId="0" fontId="3" fillId="2" borderId="0" xfId="0" applyFont="1" applyFill="1" applyAlignment="1">
      <alignment wrapText="1"/>
    </xf>
    <xf numFmtId="0" fontId="3" fillId="8" borderId="2" xfId="0" applyFont="1" applyFill="1" applyBorder="1" applyAlignment="1">
      <alignment wrapText="1"/>
    </xf>
    <xf numFmtId="0" fontId="3" fillId="8" borderId="12" xfId="0" applyFont="1" applyFill="1" applyBorder="1" applyAlignment="1">
      <alignment wrapText="1"/>
    </xf>
    <xf numFmtId="0" fontId="3" fillId="8" borderId="3" xfId="0" quotePrefix="1" applyFont="1" applyFill="1" applyBorder="1" applyAlignment="1">
      <alignment wrapText="1"/>
    </xf>
    <xf numFmtId="0" fontId="3" fillId="8" borderId="3" xfId="0" applyFont="1" applyFill="1" applyBorder="1" applyAlignment="1">
      <alignment wrapText="1"/>
    </xf>
    <xf numFmtId="0" fontId="3" fillId="8" borderId="1" xfId="0" applyFont="1" applyFill="1" applyBorder="1" applyAlignment="1">
      <alignment wrapText="1"/>
    </xf>
    <xf numFmtId="0" fontId="3" fillId="8" borderId="0" xfId="0" applyFont="1" applyFill="1" applyAlignment="1">
      <alignment wrapText="1"/>
    </xf>
    <xf numFmtId="0" fontId="3" fillId="7" borderId="2" xfId="0" applyFont="1" applyFill="1" applyBorder="1" applyAlignment="1">
      <alignment wrapText="1"/>
    </xf>
    <xf numFmtId="0" fontId="3" fillId="7" borderId="12" xfId="0" applyFont="1" applyFill="1" applyBorder="1" applyAlignment="1">
      <alignment wrapText="1"/>
    </xf>
    <xf numFmtId="0" fontId="3" fillId="7" borderId="3" xfId="0" applyFont="1" applyFill="1" applyBorder="1" applyAlignment="1">
      <alignment wrapText="1"/>
    </xf>
    <xf numFmtId="0" fontId="3" fillId="7" borderId="1" xfId="0" applyFont="1" applyFill="1" applyBorder="1" applyAlignment="1">
      <alignment wrapText="1"/>
    </xf>
    <xf numFmtId="0" fontId="3" fillId="7" borderId="0" xfId="0" applyFont="1" applyFill="1" applyAlignment="1">
      <alignment wrapText="1"/>
    </xf>
    <xf numFmtId="0" fontId="3" fillId="7" borderId="23" xfId="0" applyFont="1" applyFill="1" applyBorder="1" applyAlignment="1">
      <alignment wrapText="1"/>
    </xf>
    <xf numFmtId="0" fontId="3" fillId="7" borderId="27" xfId="0" applyFont="1" applyFill="1" applyBorder="1" applyAlignment="1">
      <alignment wrapText="1"/>
    </xf>
    <xf numFmtId="0" fontId="3" fillId="7" borderId="25" xfId="0" applyFont="1" applyFill="1" applyBorder="1" applyAlignment="1">
      <alignment wrapText="1"/>
    </xf>
    <xf numFmtId="0" fontId="3" fillId="7" borderId="21" xfId="0" applyFont="1" applyFill="1" applyBorder="1" applyAlignment="1">
      <alignment wrapText="1"/>
    </xf>
    <xf numFmtId="0" fontId="3" fillId="7" borderId="6" xfId="0" applyFont="1" applyFill="1" applyBorder="1" applyAlignment="1">
      <alignment wrapText="1"/>
    </xf>
    <xf numFmtId="0" fontId="3" fillId="7" borderId="8" xfId="0" applyFont="1" applyFill="1" applyBorder="1" applyAlignment="1">
      <alignment wrapText="1"/>
    </xf>
    <xf numFmtId="0" fontId="3" fillId="6" borderId="2" xfId="0" applyFont="1" applyFill="1" applyBorder="1" applyAlignment="1">
      <alignment wrapText="1"/>
    </xf>
    <xf numFmtId="0" fontId="3" fillId="6" borderId="3" xfId="0" applyFont="1" applyFill="1" applyBorder="1" applyAlignment="1">
      <alignment wrapText="1"/>
    </xf>
    <xf numFmtId="0" fontId="3" fillId="6" borderId="12" xfId="0" applyFont="1" applyFill="1" applyBorder="1" applyAlignment="1">
      <alignment wrapText="1"/>
    </xf>
    <xf numFmtId="0" fontId="3" fillId="6" borderId="0" xfId="0" applyFont="1" applyFill="1" applyAlignment="1">
      <alignment wrapText="1"/>
    </xf>
    <xf numFmtId="0" fontId="3" fillId="0" borderId="0" xfId="0" applyFont="1" applyAlignment="1">
      <alignment wrapText="1"/>
    </xf>
    <xf numFmtId="0" fontId="3" fillId="6" borderId="23" xfId="0" applyFont="1" applyFill="1" applyBorder="1" applyAlignment="1">
      <alignment wrapText="1"/>
    </xf>
    <xf numFmtId="0" fontId="3" fillId="6" borderId="1" xfId="0" applyFont="1" applyFill="1" applyBorder="1" applyAlignment="1">
      <alignment wrapText="1"/>
    </xf>
    <xf numFmtId="0" fontId="3" fillId="6" borderId="27" xfId="0" applyFont="1" applyFill="1" applyBorder="1" applyAlignment="1">
      <alignment wrapText="1"/>
    </xf>
    <xf numFmtId="0" fontId="3" fillId="6" borderId="23" xfId="0" quotePrefix="1" applyFont="1" applyFill="1" applyBorder="1" applyAlignment="1">
      <alignment wrapText="1"/>
    </xf>
    <xf numFmtId="0" fontId="3" fillId="6" borderId="12" xfId="0" quotePrefix="1" applyFont="1" applyFill="1" applyBorder="1" applyAlignment="1">
      <alignment wrapText="1"/>
    </xf>
    <xf numFmtId="0" fontId="3" fillId="3" borderId="24" xfId="0" applyFont="1" applyFill="1" applyBorder="1" applyAlignment="1">
      <alignment vertical="top" wrapText="1"/>
    </xf>
    <xf numFmtId="0" fontId="3" fillId="3" borderId="20" xfId="0" applyFont="1" applyFill="1" applyBorder="1" applyAlignment="1">
      <alignment horizontal="left" wrapText="1"/>
    </xf>
    <xf numFmtId="0" fontId="3" fillId="3" borderId="9" xfId="0" applyFont="1" applyFill="1" applyBorder="1" applyAlignment="1">
      <alignment horizontal="center" wrapText="1"/>
    </xf>
    <xf numFmtId="0" fontId="3" fillId="3" borderId="22" xfId="0" applyFont="1" applyFill="1" applyBorder="1" applyAlignment="1">
      <alignment horizontal="center" wrapText="1"/>
    </xf>
    <xf numFmtId="0" fontId="3" fillId="4" borderId="2" xfId="0" applyFont="1" applyFill="1" applyBorder="1" applyAlignment="1">
      <alignment wrapText="1"/>
    </xf>
    <xf numFmtId="0" fontId="3" fillId="4" borderId="12" xfId="0" applyFont="1" applyFill="1" applyBorder="1" applyAlignment="1">
      <alignment wrapText="1"/>
    </xf>
    <xf numFmtId="0" fontId="3" fillId="4" borderId="3" xfId="0" applyFont="1" applyFill="1" applyBorder="1" applyAlignment="1">
      <alignment wrapText="1"/>
    </xf>
    <xf numFmtId="0" fontId="3" fillId="4" borderId="1" xfId="0" applyFont="1" applyFill="1" applyBorder="1" applyAlignment="1">
      <alignment wrapText="1"/>
    </xf>
    <xf numFmtId="0" fontId="3" fillId="4" borderId="0" xfId="0" applyFont="1" applyFill="1" applyAlignment="1">
      <alignment wrapText="1"/>
    </xf>
    <xf numFmtId="0" fontId="0" fillId="4" borderId="4" xfId="0" applyFill="1" applyBorder="1" applyAlignment="1">
      <alignment vertical="top"/>
    </xf>
    <xf numFmtId="0" fontId="0" fillId="4" borderId="40" xfId="0" applyFill="1" applyBorder="1" applyAlignment="1">
      <alignment vertical="top"/>
    </xf>
    <xf numFmtId="43" fontId="3" fillId="0" borderId="0" xfId="1" applyFont="1" applyFill="1"/>
    <xf numFmtId="0" fontId="3" fillId="0" borderId="24" xfId="0" applyFont="1" applyBorder="1" applyAlignment="1">
      <alignment vertical="top" wrapText="1"/>
    </xf>
    <xf numFmtId="0" fontId="3" fillId="0" borderId="0" xfId="0" applyFont="1" applyAlignment="1">
      <alignment vertical="top" wrapText="1"/>
    </xf>
    <xf numFmtId="0" fontId="3" fillId="2" borderId="9" xfId="0" applyFont="1" applyFill="1" applyBorder="1" applyAlignment="1">
      <alignment wrapText="1"/>
    </xf>
    <xf numFmtId="43" fontId="3" fillId="2" borderId="7" xfId="1" applyFont="1" applyFill="1" applyBorder="1" applyAlignment="1">
      <alignment wrapText="1"/>
    </xf>
    <xf numFmtId="0" fontId="3" fillId="2" borderId="64" xfId="0" applyFont="1" applyFill="1" applyBorder="1" applyAlignment="1">
      <alignment vertical="center" wrapText="1"/>
    </xf>
    <xf numFmtId="43" fontId="3" fillId="2" borderId="3" xfId="1" applyFont="1" applyFill="1" applyBorder="1" applyAlignment="1">
      <alignment wrapText="1"/>
    </xf>
    <xf numFmtId="0" fontId="3" fillId="2" borderId="2" xfId="0" applyFont="1" applyFill="1" applyBorder="1" applyAlignment="1">
      <alignment vertical="center" wrapText="1"/>
    </xf>
    <xf numFmtId="0" fontId="3" fillId="2" borderId="9" xfId="0" applyFont="1" applyFill="1" applyBorder="1" applyAlignment="1">
      <alignment vertical="center" wrapText="1"/>
    </xf>
    <xf numFmtId="43" fontId="3" fillId="2" borderId="3" xfId="1" quotePrefix="1" applyFont="1" applyFill="1" applyBorder="1" applyAlignment="1">
      <alignment wrapText="1"/>
    </xf>
    <xf numFmtId="0" fontId="3" fillId="7" borderId="63" xfId="0" applyFont="1" applyFill="1" applyBorder="1"/>
    <xf numFmtId="0" fontId="3" fillId="7" borderId="47" xfId="0" applyFont="1" applyFill="1" applyBorder="1"/>
    <xf numFmtId="43" fontId="3" fillId="7" borderId="47" xfId="1" applyFont="1" applyFill="1" applyBorder="1"/>
    <xf numFmtId="0" fontId="3" fillId="7" borderId="48" xfId="0" applyFont="1" applyFill="1" applyBorder="1"/>
    <xf numFmtId="0" fontId="3" fillId="7" borderId="51" xfId="0" applyFont="1" applyFill="1" applyBorder="1"/>
    <xf numFmtId="0" fontId="3" fillId="7" borderId="0" xfId="0" applyFont="1" applyFill="1"/>
    <xf numFmtId="43" fontId="3" fillId="7" borderId="0" xfId="1" applyFont="1" applyFill="1" applyBorder="1"/>
    <xf numFmtId="0" fontId="3" fillId="7" borderId="50" xfId="0" applyFont="1" applyFill="1" applyBorder="1"/>
    <xf numFmtId="0" fontId="7" fillId="7" borderId="51" xfId="0" applyFont="1" applyFill="1" applyBorder="1"/>
    <xf numFmtId="0" fontId="8" fillId="7" borderId="0" xfId="0" applyFont="1" applyFill="1"/>
    <xf numFmtId="0" fontId="8" fillId="7" borderId="50" xfId="0" applyFont="1" applyFill="1" applyBorder="1"/>
    <xf numFmtId="0" fontId="3" fillId="7" borderId="53" xfId="0" applyFont="1" applyFill="1" applyBorder="1"/>
    <xf numFmtId="0" fontId="3" fillId="7" borderId="54" xfId="0" applyFont="1" applyFill="1" applyBorder="1"/>
    <xf numFmtId="0" fontId="3" fillId="7" borderId="1" xfId="0" applyFont="1" applyFill="1" applyBorder="1" applyAlignment="1">
      <alignment horizontal="right"/>
    </xf>
    <xf numFmtId="0" fontId="3" fillId="7" borderId="1" xfId="0" applyFont="1" applyFill="1" applyBorder="1"/>
    <xf numFmtId="43" fontId="9" fillId="7" borderId="1" xfId="1" applyFont="1" applyFill="1" applyBorder="1"/>
    <xf numFmtId="43" fontId="3" fillId="7" borderId="1" xfId="1" applyFont="1" applyFill="1" applyBorder="1"/>
    <xf numFmtId="43" fontId="8" fillId="7" borderId="1" xfId="1" applyFont="1" applyFill="1" applyBorder="1"/>
    <xf numFmtId="0" fontId="3" fillId="7" borderId="39" xfId="0" applyFont="1" applyFill="1" applyBorder="1" applyAlignment="1">
      <alignment horizontal="right"/>
    </xf>
    <xf numFmtId="43" fontId="8" fillId="7" borderId="39" xfId="1" applyFont="1" applyFill="1" applyBorder="1"/>
    <xf numFmtId="43" fontId="3" fillId="7" borderId="39" xfId="1" applyFont="1" applyFill="1" applyBorder="1"/>
    <xf numFmtId="43" fontId="3" fillId="7" borderId="13" xfId="1" applyFont="1" applyFill="1" applyBorder="1"/>
    <xf numFmtId="0" fontId="0" fillId="0" borderId="63" xfId="0" applyBorder="1"/>
    <xf numFmtId="0" fontId="0" fillId="0" borderId="48" xfId="0" applyBorder="1"/>
    <xf numFmtId="0" fontId="6" fillId="0" borderId="0" xfId="0" applyFont="1" applyAlignment="1">
      <alignment horizontal="center"/>
    </xf>
    <xf numFmtId="0" fontId="0" fillId="0" borderId="0" xfId="0" applyAlignment="1">
      <alignment horizontal="right"/>
    </xf>
    <xf numFmtId="0" fontId="0" fillId="0" borderId="66" xfId="0" applyBorder="1"/>
    <xf numFmtId="0" fontId="5" fillId="0" borderId="66" xfId="0" applyFont="1" applyBorder="1"/>
    <xf numFmtId="0" fontId="1" fillId="0" borderId="67" xfId="0" applyFont="1" applyBorder="1"/>
    <xf numFmtId="0" fontId="1" fillId="0" borderId="68" xfId="0" applyFont="1" applyBorder="1"/>
    <xf numFmtId="0" fontId="1" fillId="0" borderId="69" xfId="0" applyFont="1" applyBorder="1"/>
    <xf numFmtId="0" fontId="1" fillId="0" borderId="41" xfId="0" applyFont="1" applyBorder="1"/>
    <xf numFmtId="0" fontId="5" fillId="0" borderId="0" xfId="0" applyFont="1"/>
    <xf numFmtId="0" fontId="6" fillId="0" borderId="0" xfId="0" applyFont="1" applyAlignment="1">
      <alignment horizontal="right"/>
    </xf>
    <xf numFmtId="0" fontId="5" fillId="0" borderId="51" xfId="0" applyFont="1" applyBorder="1" applyAlignment="1">
      <alignment horizontal="center"/>
    </xf>
    <xf numFmtId="0" fontId="5" fillId="0" borderId="0" xfId="0" applyFont="1" applyAlignment="1">
      <alignment horizontal="right"/>
    </xf>
    <xf numFmtId="0" fontId="5" fillId="0" borderId="0" xfId="0" applyFont="1" applyAlignment="1">
      <alignment horizontal="left"/>
    </xf>
    <xf numFmtId="0" fontId="8" fillId="0" borderId="0" xfId="0" applyFont="1"/>
    <xf numFmtId="0" fontId="3" fillId="7" borderId="24" xfId="0" applyFont="1" applyFill="1" applyBorder="1" applyAlignment="1">
      <alignment vertical="top" wrapText="1"/>
    </xf>
    <xf numFmtId="0" fontId="3" fillId="6" borderId="24" xfId="0" applyFont="1" applyFill="1" applyBorder="1" applyAlignment="1">
      <alignment vertical="top" wrapText="1"/>
    </xf>
    <xf numFmtId="0" fontId="0" fillId="0" borderId="29" xfId="0" applyBorder="1" applyAlignment="1">
      <alignment horizontal="center"/>
    </xf>
    <xf numFmtId="0" fontId="0" fillId="0" borderId="0" xfId="0" applyAlignment="1">
      <alignment horizontal="center" vertical="center" wrapText="1"/>
    </xf>
    <xf numFmtId="0" fontId="0" fillId="0" borderId="47" xfId="0" applyBorder="1" applyAlignment="1">
      <alignment horizontal="left" wrapText="1"/>
    </xf>
    <xf numFmtId="0" fontId="0" fillId="0" borderId="48" xfId="0" applyBorder="1" applyAlignment="1">
      <alignment horizontal="left" wrapText="1"/>
    </xf>
    <xf numFmtId="0" fontId="0" fillId="0" borderId="0" xfId="0" applyAlignment="1">
      <alignment horizontal="left" wrapText="1"/>
    </xf>
    <xf numFmtId="0" fontId="0" fillId="0" borderId="50" xfId="0" applyBorder="1" applyAlignment="1">
      <alignment horizontal="left" wrapText="1"/>
    </xf>
    <xf numFmtId="0" fontId="0" fillId="5" borderId="5" xfId="0" applyFill="1" applyBorder="1" applyAlignment="1">
      <alignment horizontal="center" vertical="top" wrapText="1"/>
    </xf>
    <xf numFmtId="0" fontId="0" fillId="5" borderId="1" xfId="0" applyFill="1" applyBorder="1" applyAlignment="1">
      <alignment horizontal="center" vertical="top" wrapText="1"/>
    </xf>
    <xf numFmtId="0" fontId="0" fillId="2" borderId="1" xfId="0" applyFill="1" applyBorder="1" applyAlignment="1">
      <alignment horizontal="center"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xf numFmtId="0" fontId="6" fillId="0" borderId="46" xfId="0" applyFont="1" applyBorder="1" applyAlignment="1">
      <alignment horizontal="right" vertical="center"/>
    </xf>
    <xf numFmtId="0" fontId="6" fillId="0" borderId="49" xfId="0" applyFont="1" applyBorder="1" applyAlignment="1">
      <alignment horizontal="right" vertical="center"/>
    </xf>
    <xf numFmtId="0" fontId="3" fillId="7" borderId="8" xfId="0" applyFont="1" applyFill="1" applyBorder="1" applyAlignment="1">
      <alignment horizontal="center" wrapText="1"/>
    </xf>
    <xf numFmtId="0" fontId="3" fillId="7" borderId="25" xfId="0" applyFont="1" applyFill="1" applyBorder="1" applyAlignment="1">
      <alignment horizontal="center" wrapText="1"/>
    </xf>
    <xf numFmtId="0" fontId="3" fillId="7" borderId="9" xfId="0" applyFont="1" applyFill="1" applyBorder="1" applyAlignment="1">
      <alignment horizontal="center" wrapText="1"/>
    </xf>
    <xf numFmtId="0" fontId="3" fillId="7" borderId="19" xfId="0" applyFont="1" applyFill="1" applyBorder="1" applyAlignment="1">
      <alignment horizontal="left" wrapText="1"/>
    </xf>
    <xf numFmtId="0" fontId="3" fillId="7" borderId="26" xfId="0" applyFont="1" applyFill="1" applyBorder="1" applyAlignment="1">
      <alignment horizontal="left" wrapText="1"/>
    </xf>
    <xf numFmtId="0" fontId="3" fillId="7" borderId="20" xfId="0" applyFont="1" applyFill="1" applyBorder="1" applyAlignment="1">
      <alignment horizontal="left" wrapText="1"/>
    </xf>
    <xf numFmtId="0" fontId="3" fillId="7" borderId="21" xfId="0" applyFont="1" applyFill="1" applyBorder="1" applyAlignment="1">
      <alignment horizontal="center" wrapText="1"/>
    </xf>
    <xf numFmtId="0" fontId="3" fillId="7" borderId="28" xfId="0" applyFont="1" applyFill="1" applyBorder="1" applyAlignment="1">
      <alignment horizontal="center" wrapText="1"/>
    </xf>
    <xf numFmtId="0" fontId="3" fillId="7" borderId="22"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3" fillId="4" borderId="24" xfId="0" applyFont="1" applyFill="1" applyBorder="1" applyAlignment="1">
      <alignment horizontal="center" vertical="top" wrapText="1"/>
    </xf>
    <xf numFmtId="0" fontId="3" fillId="5" borderId="24" xfId="0" applyFont="1" applyFill="1" applyBorder="1" applyAlignment="1">
      <alignment horizontal="center" vertical="top" wrapText="1"/>
    </xf>
    <xf numFmtId="0" fontId="3" fillId="8" borderId="24" xfId="0" applyFont="1" applyFill="1" applyBorder="1" applyAlignment="1">
      <alignment horizontal="center" vertical="top" wrapText="1"/>
    </xf>
    <xf numFmtId="0" fontId="3" fillId="7" borderId="24" xfId="0" applyFont="1" applyFill="1" applyBorder="1" applyAlignment="1">
      <alignment horizontal="center" vertical="top" wrapText="1"/>
    </xf>
    <xf numFmtId="0" fontId="3" fillId="8" borderId="8" xfId="0" applyFont="1" applyFill="1" applyBorder="1" applyAlignment="1">
      <alignment horizontal="center" wrapText="1"/>
    </xf>
    <xf numFmtId="0" fontId="3" fillId="8" borderId="9" xfId="0" applyFont="1" applyFill="1" applyBorder="1" applyAlignment="1">
      <alignment horizontal="center" wrapText="1"/>
    </xf>
    <xf numFmtId="0" fontId="3" fillId="8" borderId="19" xfId="0" applyFont="1" applyFill="1" applyBorder="1" applyAlignment="1">
      <alignment horizontal="center" wrapText="1"/>
    </xf>
    <xf numFmtId="0" fontId="3" fillId="8" borderId="20" xfId="0" applyFont="1" applyFill="1" applyBorder="1" applyAlignment="1">
      <alignment horizontal="center" wrapText="1"/>
    </xf>
    <xf numFmtId="0" fontId="3" fillId="8" borderId="21" xfId="0" applyFont="1" applyFill="1" applyBorder="1" applyAlignment="1">
      <alignment horizontal="center" wrapText="1"/>
    </xf>
    <xf numFmtId="0" fontId="3" fillId="8" borderId="22" xfId="0" applyFont="1" applyFill="1" applyBorder="1" applyAlignment="1">
      <alignment horizontal="center" wrapText="1"/>
    </xf>
    <xf numFmtId="0" fontId="0" fillId="0" borderId="3"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8" xfId="0" applyBorder="1" applyAlignment="1">
      <alignment horizontal="center"/>
    </xf>
    <xf numFmtId="0" fontId="0" fillId="0" borderId="14" xfId="0" applyBorder="1" applyAlignment="1">
      <alignment horizontal="center"/>
    </xf>
    <xf numFmtId="0" fontId="0" fillId="0" borderId="6" xfId="0" applyBorder="1" applyAlignment="1">
      <alignment horizontal="center"/>
    </xf>
    <xf numFmtId="0" fontId="0" fillId="0" borderId="18" xfId="0"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0" fontId="0" fillId="4" borderId="1" xfId="0" applyFill="1" applyBorder="1" applyAlignment="1">
      <alignment horizontal="left" vertical="top" wrapText="1"/>
    </xf>
    <xf numFmtId="0" fontId="0" fillId="3" borderId="1" xfId="0" applyFill="1" applyBorder="1" applyAlignment="1">
      <alignment horizontal="left" vertical="top" wrapText="1"/>
    </xf>
    <xf numFmtId="0" fontId="0" fillId="2" borderId="1" xfId="0" applyFill="1" applyBorder="1" applyAlignment="1">
      <alignment horizontal="left" vertical="top" wrapText="1"/>
    </xf>
    <xf numFmtId="0" fontId="0" fillId="0" borderId="0" xfId="0" applyAlignment="1">
      <alignment horizontal="center" wrapText="1"/>
    </xf>
    <xf numFmtId="0" fontId="3" fillId="2" borderId="62" xfId="0" applyFont="1" applyFill="1" applyBorder="1" applyAlignment="1">
      <alignment horizontal="center" vertical="center" wrapText="1"/>
    </xf>
    <xf numFmtId="0" fontId="3" fillId="2" borderId="56"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62" xfId="0" applyFont="1" applyFill="1" applyBorder="1" applyAlignment="1">
      <alignment horizontal="center" wrapText="1"/>
    </xf>
    <xf numFmtId="0" fontId="3" fillId="2" borderId="56" xfId="0" applyFont="1" applyFill="1" applyBorder="1" applyAlignment="1">
      <alignment horizontal="center" wrapText="1"/>
    </xf>
    <xf numFmtId="0" fontId="3" fillId="2" borderId="3" xfId="0" applyFont="1" applyFill="1" applyBorder="1" applyAlignment="1">
      <alignment horizontal="center" wrapText="1"/>
    </xf>
    <xf numFmtId="0" fontId="3" fillId="7" borderId="38" xfId="0" applyFont="1" applyFill="1" applyBorder="1" applyAlignment="1">
      <alignment horizontal="right"/>
    </xf>
    <xf numFmtId="0" fontId="3" fillId="7" borderId="1" xfId="0" applyFont="1" applyFill="1" applyBorder="1" applyAlignment="1">
      <alignment horizontal="right"/>
    </xf>
    <xf numFmtId="0" fontId="3" fillId="7" borderId="65" xfId="0" applyFont="1" applyFill="1" applyBorder="1" applyAlignment="1">
      <alignment horizontal="right"/>
    </xf>
    <xf numFmtId="0" fontId="3" fillId="7" borderId="13" xfId="0" applyFont="1" applyFill="1" applyBorder="1" applyAlignment="1">
      <alignment horizontal="right"/>
    </xf>
    <xf numFmtId="0" fontId="8" fillId="7" borderId="51" xfId="0" applyFont="1" applyFill="1" applyBorder="1" applyAlignment="1">
      <alignment horizontal="center"/>
    </xf>
    <xf numFmtId="0" fontId="8" fillId="7" borderId="0" xfId="0" applyFont="1" applyFill="1" applyAlignment="1">
      <alignment horizontal="center"/>
    </xf>
    <xf numFmtId="0" fontId="4" fillId="7" borderId="51" xfId="0" applyFont="1" applyFill="1" applyBorder="1" applyAlignment="1">
      <alignment horizontal="center" wrapText="1"/>
    </xf>
    <xf numFmtId="0" fontId="4" fillId="7" borderId="0" xfId="0" applyFont="1" applyFill="1" applyAlignment="1">
      <alignment horizontal="center" wrapText="1"/>
    </xf>
    <xf numFmtId="0" fontId="4" fillId="7" borderId="50" xfId="0" applyFont="1" applyFill="1" applyBorder="1" applyAlignment="1">
      <alignment horizontal="center" wrapText="1"/>
    </xf>
    <xf numFmtId="0" fontId="9" fillId="7" borderId="38" xfId="0" applyFont="1" applyFill="1" applyBorder="1" applyAlignment="1">
      <alignment horizontal="right"/>
    </xf>
    <xf numFmtId="0" fontId="9" fillId="7" borderId="1" xfId="0" applyFont="1" applyFill="1" applyBorder="1" applyAlignment="1">
      <alignment horizontal="right"/>
    </xf>
    <xf numFmtId="0" fontId="8" fillId="7" borderId="50" xfId="0" applyFont="1" applyFill="1" applyBorder="1" applyAlignment="1">
      <alignment horizontal="center"/>
    </xf>
    <xf numFmtId="43" fontId="0" fillId="2" borderId="21" xfId="1" applyFont="1" applyFill="1" applyBorder="1" applyAlignment="1">
      <alignment horizontal="center"/>
    </xf>
    <xf numFmtId="43" fontId="0" fillId="2" borderId="30" xfId="1" applyFont="1" applyFill="1" applyBorder="1" applyAlignment="1">
      <alignment horizontal="center"/>
    </xf>
    <xf numFmtId="0" fontId="0" fillId="2" borderId="8" xfId="0" applyFill="1" applyBorder="1" applyAlignment="1">
      <alignment horizontal="center"/>
    </xf>
    <xf numFmtId="0" fontId="0" fillId="2" borderId="14" xfId="0" applyFill="1" applyBorder="1" applyAlignment="1">
      <alignment horizontal="center"/>
    </xf>
    <xf numFmtId="0" fontId="0" fillId="2" borderId="57" xfId="0" applyFill="1" applyBorder="1" applyAlignment="1">
      <alignment horizontal="center"/>
    </xf>
    <xf numFmtId="0" fontId="0" fillId="2" borderId="55" xfId="0" applyFill="1" applyBorder="1" applyAlignment="1">
      <alignment horizontal="center"/>
    </xf>
    <xf numFmtId="0" fontId="0" fillId="2" borderId="10" xfId="0" applyFill="1" applyBorder="1" applyAlignment="1">
      <alignment horizontal="center"/>
    </xf>
    <xf numFmtId="0" fontId="0" fillId="2" borderId="58" xfId="0" applyFill="1" applyBorder="1" applyAlignment="1">
      <alignment horizontal="center"/>
    </xf>
    <xf numFmtId="0" fontId="0" fillId="2" borderId="53" xfId="0" applyFill="1" applyBorder="1" applyAlignment="1">
      <alignment horizontal="center"/>
    </xf>
    <xf numFmtId="0" fontId="0" fillId="2" borderId="15" xfId="0" applyFill="1" applyBorder="1" applyAlignment="1">
      <alignment horizontal="center"/>
    </xf>
    <xf numFmtId="0" fontId="3" fillId="2" borderId="59" xfId="0" applyFont="1" applyFill="1" applyBorder="1" applyAlignment="1">
      <alignment horizontal="center" wrapText="1"/>
    </xf>
    <xf numFmtId="0" fontId="3" fillId="2" borderId="60" xfId="0" applyFont="1" applyFill="1" applyBorder="1" applyAlignment="1">
      <alignment horizontal="center" wrapText="1"/>
    </xf>
    <xf numFmtId="0" fontId="3" fillId="2" borderId="61" xfId="0" applyFont="1" applyFill="1" applyBorder="1" applyAlignment="1">
      <alignment horizontal="center" wrapText="1"/>
    </xf>
    <xf numFmtId="0" fontId="3" fillId="2" borderId="12" xfId="0" applyFont="1" applyFill="1" applyBorder="1" applyAlignment="1">
      <alignment horizontal="center" wrapText="1"/>
    </xf>
    <xf numFmtId="0" fontId="0" fillId="2" borderId="6" xfId="0" applyFill="1" applyBorder="1" applyAlignment="1">
      <alignment horizontal="center"/>
    </xf>
    <xf numFmtId="0" fontId="0" fillId="2" borderId="18" xfId="0" applyFill="1" applyBorder="1" applyAlignment="1">
      <alignment horizontal="center"/>
    </xf>
    <xf numFmtId="0" fontId="3" fillId="2" borderId="59" xfId="0" applyFont="1" applyFill="1" applyBorder="1" applyAlignment="1">
      <alignment horizontal="center" vertical="center" wrapText="1"/>
    </xf>
    <xf numFmtId="0" fontId="3" fillId="2" borderId="60" xfId="0" applyFont="1" applyFill="1" applyBorder="1" applyAlignment="1">
      <alignment horizontal="center" vertical="center" wrapText="1"/>
    </xf>
    <xf numFmtId="0" fontId="3" fillId="2" borderId="70" xfId="0" applyFont="1" applyFill="1" applyBorder="1" applyAlignment="1">
      <alignment horizontal="center" vertical="center" wrapText="1"/>
    </xf>
    <xf numFmtId="0" fontId="1" fillId="9" borderId="0" xfId="0" applyFont="1" applyFill="1" applyAlignment="1">
      <alignment horizontal="center" wrapText="1"/>
    </xf>
    <xf numFmtId="0" fontId="0" fillId="0" borderId="50" xfId="0" applyBorder="1" applyAlignment="1">
      <alignment horizontal="right"/>
    </xf>
    <xf numFmtId="0" fontId="0" fillId="0" borderId="54" xfId="0" applyBorder="1" applyAlignment="1">
      <alignment horizontal="right"/>
    </xf>
    <xf numFmtId="0" fontId="0" fillId="0" borderId="0" xfId="0" applyAlignment="1">
      <alignment horizontal="right" wrapText="1"/>
    </xf>
    <xf numFmtId="0" fontId="0" fillId="0" borderId="53" xfId="0" applyBorder="1" applyAlignment="1">
      <alignment horizontal="right" wrapText="1"/>
    </xf>
    <xf numFmtId="0" fontId="0" fillId="0" borderId="66" xfId="0" applyBorder="1" applyAlignment="1">
      <alignment horizontal="center" wrapText="1"/>
    </xf>
    <xf numFmtId="0" fontId="6" fillId="0" borderId="51" xfId="0" applyFont="1" applyBorder="1" applyAlignment="1">
      <alignment horizontal="center"/>
    </xf>
    <xf numFmtId="0" fontId="6" fillId="0" borderId="0" xfId="0" applyFont="1" applyAlignment="1">
      <alignment horizontal="center"/>
    </xf>
    <xf numFmtId="0" fontId="6" fillId="0" borderId="66" xfId="0" applyFont="1" applyBorder="1" applyAlignment="1">
      <alignment horizontal="center"/>
    </xf>
    <xf numFmtId="0" fontId="0" fillId="0" borderId="15" xfId="0" applyBorder="1"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D9E3-C0D7-D348-ACE0-A696E2E861B0}">
  <dimension ref="B2:D16"/>
  <sheetViews>
    <sheetView topLeftCell="A2" zoomScale="125" workbookViewId="0">
      <selection activeCell="C17" sqref="C17"/>
    </sheetView>
  </sheetViews>
  <sheetFormatPr baseColWidth="10" defaultRowHeight="16" x14ac:dyDescent="0.2"/>
  <cols>
    <col min="1" max="1" width="4.6640625" customWidth="1"/>
    <col min="2" max="2" width="17.33203125" customWidth="1"/>
    <col min="3" max="3" width="109.33203125" customWidth="1"/>
    <col min="4" max="4" width="64.6640625" customWidth="1"/>
  </cols>
  <sheetData>
    <row r="2" spans="2:4" x14ac:dyDescent="0.2">
      <c r="B2" t="s">
        <v>0</v>
      </c>
    </row>
    <row r="4" spans="2:4" x14ac:dyDescent="0.2">
      <c r="B4" s="187" t="s">
        <v>1</v>
      </c>
      <c r="C4" s="187"/>
      <c r="D4" s="187"/>
    </row>
    <row r="5" spans="2:4" ht="17" thickBot="1" x14ac:dyDescent="0.25">
      <c r="B5" s="13" t="s">
        <v>2</v>
      </c>
      <c r="C5" s="13" t="s">
        <v>3</v>
      </c>
      <c r="D5" s="13" t="s">
        <v>151</v>
      </c>
    </row>
    <row r="6" spans="2:4" x14ac:dyDescent="0.2">
      <c r="B6" s="48" t="s">
        <v>178</v>
      </c>
      <c r="C6" s="48" t="s">
        <v>179</v>
      </c>
      <c r="D6" s="48" t="s">
        <v>180</v>
      </c>
    </row>
    <row r="7" spans="2:4" ht="43" customHeight="1" x14ac:dyDescent="0.2">
      <c r="B7" s="4" t="s">
        <v>4</v>
      </c>
      <c r="C7" s="47" t="s">
        <v>6</v>
      </c>
      <c r="D7" s="4"/>
    </row>
    <row r="8" spans="2:4" ht="98" customHeight="1" x14ac:dyDescent="0.2">
      <c r="B8" s="2" t="s">
        <v>148</v>
      </c>
      <c r="C8" s="3" t="s">
        <v>150</v>
      </c>
      <c r="D8" s="3" t="s">
        <v>301</v>
      </c>
    </row>
    <row r="9" spans="2:4" ht="34" x14ac:dyDescent="0.2">
      <c r="B9" s="2" t="s">
        <v>157</v>
      </c>
      <c r="C9" s="3" t="s">
        <v>158</v>
      </c>
      <c r="D9" s="3" t="s">
        <v>302</v>
      </c>
    </row>
    <row r="10" spans="2:4" ht="68" x14ac:dyDescent="0.2">
      <c r="B10" s="11" t="s">
        <v>149</v>
      </c>
      <c r="C10" s="4" t="s">
        <v>171</v>
      </c>
      <c r="D10" s="47" t="s">
        <v>305</v>
      </c>
    </row>
    <row r="11" spans="2:4" ht="34" x14ac:dyDescent="0.2">
      <c r="B11" s="2" t="s">
        <v>172</v>
      </c>
      <c r="C11" s="4" t="s">
        <v>5</v>
      </c>
      <c r="D11" s="47" t="s">
        <v>304</v>
      </c>
    </row>
    <row r="13" spans="2:4" ht="16" customHeight="1" x14ac:dyDescent="0.2">
      <c r="B13" s="188" t="s">
        <v>97</v>
      </c>
      <c r="C13" s="188"/>
      <c r="D13" s="188"/>
    </row>
    <row r="14" spans="2:4" x14ac:dyDescent="0.2">
      <c r="B14" s="188"/>
      <c r="C14" s="188"/>
      <c r="D14" s="188"/>
    </row>
    <row r="15" spans="2:4" x14ac:dyDescent="0.2">
      <c r="B15" s="188"/>
      <c r="C15" s="188"/>
      <c r="D15" s="188"/>
    </row>
    <row r="16" spans="2:4" x14ac:dyDescent="0.2">
      <c r="B16" s="188"/>
      <c r="C16" s="188"/>
      <c r="D16" s="188"/>
    </row>
  </sheetData>
  <mergeCells count="2">
    <mergeCell ref="B4:D4"/>
    <mergeCell ref="B13: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38114-2B83-8A47-B92C-4A58120C96E4}">
  <dimension ref="B2:K33"/>
  <sheetViews>
    <sheetView workbookViewId="0">
      <selection activeCell="E5" sqref="B5:E5"/>
    </sheetView>
  </sheetViews>
  <sheetFormatPr baseColWidth="10" defaultRowHeight="16" x14ac:dyDescent="0.2"/>
  <cols>
    <col min="1" max="1" width="3.5" customWidth="1"/>
    <col min="2" max="2" width="15.6640625" customWidth="1"/>
    <col min="3" max="3" width="11.6640625" bestFit="1" customWidth="1"/>
    <col min="4" max="4" width="51.1640625" customWidth="1"/>
    <col min="5" max="5" width="53" customWidth="1"/>
    <col min="6" max="6" width="80.5" customWidth="1"/>
    <col min="7" max="7" width="102.83203125" customWidth="1"/>
  </cols>
  <sheetData>
    <row r="2" spans="2:6" x14ac:dyDescent="0.2">
      <c r="B2" t="s">
        <v>198</v>
      </c>
    </row>
    <row r="3" spans="2:6" ht="50" customHeight="1" x14ac:dyDescent="0.2">
      <c r="B3" s="191" t="s">
        <v>238</v>
      </c>
      <c r="C3" s="191"/>
      <c r="D3" s="191"/>
      <c r="E3" s="191"/>
      <c r="F3" s="191"/>
    </row>
    <row r="5" spans="2:6" ht="35" thickBot="1" x14ac:dyDescent="0.25">
      <c r="B5" s="54" t="s">
        <v>181</v>
      </c>
      <c r="C5" s="61" t="s">
        <v>185</v>
      </c>
      <c r="D5" s="55" t="s">
        <v>191</v>
      </c>
      <c r="E5" s="54" t="s">
        <v>200</v>
      </c>
      <c r="F5" s="54" t="s">
        <v>229</v>
      </c>
    </row>
    <row r="6" spans="2:6" ht="17" x14ac:dyDescent="0.2">
      <c r="B6" s="193" t="s">
        <v>186</v>
      </c>
      <c r="C6" s="62" t="s">
        <v>187</v>
      </c>
      <c r="D6" s="56" t="s">
        <v>192</v>
      </c>
      <c r="E6" s="49" t="s">
        <v>201</v>
      </c>
      <c r="F6" s="49"/>
    </row>
    <row r="7" spans="2:6" ht="34" x14ac:dyDescent="0.2">
      <c r="B7" s="194"/>
      <c r="C7" s="63" t="s">
        <v>188</v>
      </c>
      <c r="D7" s="57" t="s">
        <v>194</v>
      </c>
      <c r="E7" s="50" t="s">
        <v>202</v>
      </c>
      <c r="F7" s="50"/>
    </row>
    <row r="8" spans="2:6" ht="34" x14ac:dyDescent="0.2">
      <c r="B8" s="194"/>
      <c r="C8" s="63" t="s">
        <v>189</v>
      </c>
      <c r="D8" s="57" t="s">
        <v>193</v>
      </c>
      <c r="E8" s="50" t="s">
        <v>203</v>
      </c>
      <c r="F8" s="50"/>
    </row>
    <row r="9" spans="2:6" ht="51" x14ac:dyDescent="0.2">
      <c r="B9" s="194"/>
      <c r="C9" s="63" t="s">
        <v>190</v>
      </c>
      <c r="D9" s="57" t="s">
        <v>195</v>
      </c>
      <c r="E9" s="50" t="s">
        <v>204</v>
      </c>
      <c r="F9" s="50"/>
    </row>
    <row r="10" spans="2:6" ht="34" x14ac:dyDescent="0.2">
      <c r="B10" s="195" t="s">
        <v>182</v>
      </c>
      <c r="C10" s="64" t="s">
        <v>124</v>
      </c>
      <c r="D10" s="58" t="s">
        <v>216</v>
      </c>
      <c r="E10" s="51" t="s">
        <v>205</v>
      </c>
      <c r="F10" s="51" t="s">
        <v>230</v>
      </c>
    </row>
    <row r="11" spans="2:6" ht="34" x14ac:dyDescent="0.2">
      <c r="B11" s="195"/>
      <c r="C11" s="64" t="s">
        <v>196</v>
      </c>
      <c r="D11" s="58" t="s">
        <v>217</v>
      </c>
      <c r="E11" s="51" t="s">
        <v>207</v>
      </c>
      <c r="F11" s="51" t="s">
        <v>231</v>
      </c>
    </row>
    <row r="12" spans="2:6" ht="34" x14ac:dyDescent="0.2">
      <c r="B12" s="195"/>
      <c r="C12" s="64" t="s">
        <v>197</v>
      </c>
      <c r="D12" s="58" t="s">
        <v>218</v>
      </c>
      <c r="E12" s="51" t="s">
        <v>206</v>
      </c>
      <c r="F12" s="51" t="s">
        <v>232</v>
      </c>
    </row>
    <row r="13" spans="2:6" ht="17" x14ac:dyDescent="0.2">
      <c r="B13" s="196" t="s">
        <v>183</v>
      </c>
      <c r="C13" s="65" t="s">
        <v>140</v>
      </c>
      <c r="D13" s="59" t="s">
        <v>219</v>
      </c>
      <c r="E13" s="52" t="s">
        <v>208</v>
      </c>
      <c r="F13" s="52" t="s">
        <v>233</v>
      </c>
    </row>
    <row r="14" spans="2:6" ht="34" x14ac:dyDescent="0.2">
      <c r="B14" s="196"/>
      <c r="C14" s="65" t="s">
        <v>121</v>
      </c>
      <c r="D14" s="59" t="s">
        <v>220</v>
      </c>
      <c r="E14" s="52" t="s">
        <v>222</v>
      </c>
      <c r="F14" s="52" t="s">
        <v>237</v>
      </c>
    </row>
    <row r="15" spans="2:6" ht="17" x14ac:dyDescent="0.2">
      <c r="B15" s="196"/>
      <c r="C15" s="65" t="s">
        <v>119</v>
      </c>
      <c r="D15" s="59" t="s">
        <v>221</v>
      </c>
      <c r="E15" s="52" t="s">
        <v>209</v>
      </c>
      <c r="F15" s="52" t="s">
        <v>236</v>
      </c>
    </row>
    <row r="16" spans="2:6" ht="17" x14ac:dyDescent="0.2">
      <c r="B16" s="197" t="s">
        <v>184</v>
      </c>
      <c r="C16" s="66" t="s">
        <v>199</v>
      </c>
      <c r="D16" s="60" t="s">
        <v>213</v>
      </c>
      <c r="E16" s="53" t="s">
        <v>210</v>
      </c>
      <c r="F16" s="53"/>
    </row>
    <row r="17" spans="2:11" ht="34" x14ac:dyDescent="0.2">
      <c r="B17" s="197"/>
      <c r="C17" s="66" t="s">
        <v>141</v>
      </c>
      <c r="D17" s="60" t="s">
        <v>214</v>
      </c>
      <c r="E17" s="53" t="s">
        <v>211</v>
      </c>
      <c r="F17" s="53" t="s">
        <v>234</v>
      </c>
    </row>
    <row r="18" spans="2:11" ht="135" customHeight="1" x14ac:dyDescent="0.2">
      <c r="B18" s="197"/>
      <c r="C18" s="66" t="s">
        <v>123</v>
      </c>
      <c r="D18" s="60" t="s">
        <v>243</v>
      </c>
      <c r="E18" s="53" t="s">
        <v>212</v>
      </c>
      <c r="F18" s="77" t="s">
        <v>244</v>
      </c>
      <c r="G18" s="76" t="s">
        <v>239</v>
      </c>
      <c r="H18" s="5"/>
      <c r="I18" s="5"/>
      <c r="J18" s="5"/>
      <c r="K18" s="5"/>
    </row>
    <row r="19" spans="2:11" ht="34" x14ac:dyDescent="0.2">
      <c r="B19" s="197"/>
      <c r="C19" s="66" t="s">
        <v>122</v>
      </c>
      <c r="D19" s="60" t="s">
        <v>215</v>
      </c>
      <c r="E19" s="53" t="s">
        <v>235</v>
      </c>
      <c r="F19" s="53"/>
    </row>
    <row r="21" spans="2:11" ht="17" thickBot="1" x14ac:dyDescent="0.25">
      <c r="B21" t="s">
        <v>223</v>
      </c>
      <c r="F21" s="5"/>
    </row>
    <row r="22" spans="2:11" ht="17" x14ac:dyDescent="0.2">
      <c r="B22" s="198" t="s">
        <v>140</v>
      </c>
      <c r="C22" s="72" t="s">
        <v>124</v>
      </c>
      <c r="D22" s="189" t="s">
        <v>225</v>
      </c>
      <c r="E22" s="190"/>
    </row>
    <row r="23" spans="2:11" ht="32" customHeight="1" x14ac:dyDescent="0.2">
      <c r="B23" s="199"/>
      <c r="C23" s="12" t="s">
        <v>123</v>
      </c>
      <c r="D23" s="191" t="s">
        <v>227</v>
      </c>
      <c r="E23" s="192"/>
      <c r="F23" s="5"/>
    </row>
    <row r="24" spans="2:11" x14ac:dyDescent="0.2">
      <c r="B24" s="199"/>
      <c r="C24" s="12" t="s">
        <v>122</v>
      </c>
      <c r="D24" s="74" t="s">
        <v>224</v>
      </c>
      <c r="E24" s="75"/>
    </row>
    <row r="25" spans="2:11" x14ac:dyDescent="0.2">
      <c r="B25" s="68"/>
      <c r="C25" s="12" t="s">
        <v>121</v>
      </c>
      <c r="D25" t="s">
        <v>226</v>
      </c>
      <c r="E25" s="67"/>
      <c r="F25" s="5"/>
    </row>
    <row r="26" spans="2:11" ht="17" thickBot="1" x14ac:dyDescent="0.25">
      <c r="B26" s="69"/>
      <c r="C26" s="73" t="s">
        <v>119</v>
      </c>
      <c r="D26" s="70" t="s">
        <v>119</v>
      </c>
      <c r="E26" s="71"/>
    </row>
    <row r="28" spans="2:11" x14ac:dyDescent="0.2">
      <c r="C28" s="12"/>
    </row>
    <row r="33" spans="5:5" x14ac:dyDescent="0.2">
      <c r="E33" s="5"/>
    </row>
  </sheetData>
  <mergeCells count="8">
    <mergeCell ref="D22:E22"/>
    <mergeCell ref="D23:E23"/>
    <mergeCell ref="B3:F3"/>
    <mergeCell ref="B6:B9"/>
    <mergeCell ref="B10:B12"/>
    <mergeCell ref="B13:B15"/>
    <mergeCell ref="B16:B19"/>
    <mergeCell ref="B22:B24"/>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2674-8A13-2642-88DC-6E7A009ED4C0}">
  <dimension ref="A2:J34"/>
  <sheetViews>
    <sheetView topLeftCell="A32" zoomScale="113" workbookViewId="0">
      <selection activeCell="C31" sqref="C31"/>
    </sheetView>
  </sheetViews>
  <sheetFormatPr baseColWidth="10" defaultRowHeight="14" x14ac:dyDescent="0.2"/>
  <cols>
    <col min="1" max="1" width="10.83203125" style="10"/>
    <col min="2" max="2" width="14.33203125" style="7" bestFit="1" customWidth="1"/>
    <col min="3" max="3" width="53" style="7" customWidth="1"/>
    <col min="4" max="4" width="10.83203125" style="7"/>
    <col min="5" max="5" width="40.5" style="7" customWidth="1"/>
    <col min="6" max="6" width="12.33203125" style="7" bestFit="1" customWidth="1"/>
    <col min="7" max="8" width="11.5" style="7" bestFit="1" customWidth="1"/>
    <col min="9" max="9" width="42" style="7" customWidth="1"/>
    <col min="10" max="10" width="41.1640625" style="7" customWidth="1"/>
    <col min="11" max="16384" width="10.83203125" style="7"/>
  </cols>
  <sheetData>
    <row r="2" spans="1:10" ht="16" x14ac:dyDescent="0.2">
      <c r="B2" s="224" t="s">
        <v>7</v>
      </c>
      <c r="C2" s="228" t="s">
        <v>8</v>
      </c>
      <c r="D2" s="221" t="s">
        <v>12</v>
      </c>
      <c r="E2" s="222"/>
      <c r="F2" s="223" t="s">
        <v>11</v>
      </c>
      <c r="G2" s="223"/>
      <c r="H2" s="223"/>
      <c r="I2" s="222"/>
      <c r="J2" s="226" t="s">
        <v>10</v>
      </c>
    </row>
    <row r="3" spans="1:10" ht="17" thickBot="1" x14ac:dyDescent="0.25">
      <c r="B3" s="225"/>
      <c r="C3" s="229"/>
      <c r="D3" s="6" t="s">
        <v>9</v>
      </c>
      <c r="E3" s="8" t="s">
        <v>26</v>
      </c>
      <c r="F3" s="6" t="s">
        <v>13</v>
      </c>
      <c r="G3" s="9" t="s">
        <v>14</v>
      </c>
      <c r="H3" s="9" t="s">
        <v>15</v>
      </c>
      <c r="I3" s="8" t="s">
        <v>26</v>
      </c>
      <c r="J3" s="227"/>
    </row>
    <row r="4" spans="1:10" s="83" customFormat="1" ht="91" customHeight="1" x14ac:dyDescent="0.2">
      <c r="A4" s="212" t="s">
        <v>93</v>
      </c>
      <c r="B4" s="78" t="s">
        <v>16</v>
      </c>
      <c r="C4" s="79" t="s">
        <v>17</v>
      </c>
      <c r="D4" s="80">
        <v>200000</v>
      </c>
      <c r="E4" s="78" t="s">
        <v>319</v>
      </c>
      <c r="F4" s="81"/>
      <c r="G4" s="82"/>
      <c r="H4" s="82"/>
      <c r="I4" s="78"/>
      <c r="J4" s="81" t="s">
        <v>27</v>
      </c>
    </row>
    <row r="5" spans="1:10" s="83" customFormat="1" ht="105" x14ac:dyDescent="0.2">
      <c r="A5" s="212"/>
      <c r="B5" s="84" t="s">
        <v>18</v>
      </c>
      <c r="C5" s="85" t="s">
        <v>19</v>
      </c>
      <c r="D5" s="86">
        <v>1980</v>
      </c>
      <c r="E5" s="84" t="s">
        <v>25</v>
      </c>
      <c r="F5" s="86"/>
      <c r="G5" s="87"/>
      <c r="H5" s="87"/>
      <c r="I5" s="84"/>
      <c r="J5" s="86" t="s">
        <v>303</v>
      </c>
    </row>
    <row r="6" spans="1:10" s="83" customFormat="1" ht="45" x14ac:dyDescent="0.2">
      <c r="A6" s="212"/>
      <c r="B6" s="84" t="s">
        <v>22</v>
      </c>
      <c r="C6" s="85" t="s">
        <v>20</v>
      </c>
      <c r="D6" s="86">
        <v>2055</v>
      </c>
      <c r="E6" s="84" t="s">
        <v>24</v>
      </c>
      <c r="F6" s="86"/>
      <c r="G6" s="87"/>
      <c r="H6" s="87"/>
      <c r="I6" s="84"/>
      <c r="J6" s="86"/>
    </row>
    <row r="7" spans="1:10" s="83" customFormat="1" ht="30" x14ac:dyDescent="0.2">
      <c r="A7" s="212"/>
      <c r="B7" s="84" t="s">
        <v>109</v>
      </c>
      <c r="C7" s="85" t="s">
        <v>110</v>
      </c>
      <c r="D7" s="86">
        <v>20</v>
      </c>
      <c r="E7" s="84" t="s">
        <v>111</v>
      </c>
      <c r="F7" s="86"/>
      <c r="G7" s="87"/>
      <c r="H7" s="87"/>
      <c r="I7" s="84"/>
      <c r="J7" s="86"/>
    </row>
    <row r="8" spans="1:10" s="83" customFormat="1" ht="30" x14ac:dyDescent="0.2">
      <c r="A8" s="212"/>
      <c r="B8" s="84" t="s">
        <v>23</v>
      </c>
      <c r="C8" s="85" t="s">
        <v>21</v>
      </c>
      <c r="D8" s="86">
        <v>0.25</v>
      </c>
      <c r="E8" s="84" t="s">
        <v>28</v>
      </c>
      <c r="F8" s="86"/>
      <c r="G8" s="87"/>
      <c r="H8" s="87"/>
      <c r="I8" s="84"/>
      <c r="J8" s="86"/>
    </row>
    <row r="9" spans="1:10" s="98" customFormat="1" ht="139" customHeight="1" x14ac:dyDescent="0.2">
      <c r="A9" s="92" t="s">
        <v>94</v>
      </c>
      <c r="B9" s="93" t="s">
        <v>29</v>
      </c>
      <c r="C9" s="94" t="s">
        <v>30</v>
      </c>
      <c r="D9" s="95" t="s">
        <v>31</v>
      </c>
      <c r="E9" s="93" t="s">
        <v>32</v>
      </c>
      <c r="F9" s="96"/>
      <c r="G9" s="97"/>
      <c r="H9" s="97"/>
      <c r="I9" s="93"/>
      <c r="J9" s="96" t="s">
        <v>33</v>
      </c>
    </row>
    <row r="10" spans="1:10" s="104" customFormat="1" ht="90" x14ac:dyDescent="0.2">
      <c r="A10" s="213" t="s">
        <v>95</v>
      </c>
      <c r="B10" s="99" t="s">
        <v>42</v>
      </c>
      <c r="C10" s="100" t="s">
        <v>39</v>
      </c>
      <c r="D10" s="101" t="s">
        <v>41</v>
      </c>
      <c r="E10" s="99" t="s">
        <v>40</v>
      </c>
      <c r="F10" s="102"/>
      <c r="G10" s="103"/>
      <c r="H10" s="103"/>
      <c r="I10" s="99"/>
      <c r="J10" s="102" t="s">
        <v>177</v>
      </c>
    </row>
    <row r="11" spans="1:10" s="104" customFormat="1" ht="60" customHeight="1" x14ac:dyDescent="0.2">
      <c r="A11" s="213"/>
      <c r="B11" s="215" t="s">
        <v>37</v>
      </c>
      <c r="C11" s="217" t="s">
        <v>43</v>
      </c>
      <c r="D11" s="102" t="e" vm="1">
        <v>#VALUE!</v>
      </c>
      <c r="E11" s="215" t="s">
        <v>245</v>
      </c>
      <c r="F11" s="102"/>
      <c r="G11" s="103"/>
      <c r="H11" s="103"/>
      <c r="I11" s="99"/>
      <c r="J11" s="219"/>
    </row>
    <row r="12" spans="1:10" s="104" customFormat="1" ht="60" customHeight="1" x14ac:dyDescent="0.2">
      <c r="A12" s="213"/>
      <c r="B12" s="216"/>
      <c r="C12" s="218"/>
      <c r="D12" s="102" t="e" vm="2">
        <v>#VALUE!</v>
      </c>
      <c r="E12" s="216"/>
      <c r="F12" s="102"/>
      <c r="G12" s="103"/>
      <c r="H12" s="103"/>
      <c r="I12" s="99"/>
      <c r="J12" s="220"/>
    </row>
    <row r="13" spans="1:10" s="109" customFormat="1" ht="75" x14ac:dyDescent="0.2">
      <c r="A13" s="214" t="s">
        <v>96</v>
      </c>
      <c r="B13" s="105" t="s">
        <v>34</v>
      </c>
      <c r="C13" s="106" t="s">
        <v>35</v>
      </c>
      <c r="D13" s="107" t="s">
        <v>36</v>
      </c>
      <c r="E13" s="105" t="s">
        <v>59</v>
      </c>
      <c r="F13" s="107"/>
      <c r="G13" s="108"/>
      <c r="H13" s="108"/>
      <c r="I13" s="105"/>
      <c r="J13" s="107"/>
    </row>
    <row r="14" spans="1:10" s="109" customFormat="1" ht="188" customHeight="1" x14ac:dyDescent="0.2">
      <c r="A14" s="214"/>
      <c r="B14" s="105" t="s">
        <v>38</v>
      </c>
      <c r="C14" s="106" t="s">
        <v>45</v>
      </c>
      <c r="D14" s="107" t="s">
        <v>44</v>
      </c>
      <c r="E14" s="105" t="s">
        <v>46</v>
      </c>
      <c r="F14" s="107"/>
      <c r="G14" s="108"/>
      <c r="H14" s="108"/>
      <c r="I14" s="105"/>
      <c r="J14" s="107" t="s">
        <v>47</v>
      </c>
    </row>
    <row r="15" spans="1:10" s="109" customFormat="1" ht="45" x14ac:dyDescent="0.2">
      <c r="A15" s="214"/>
      <c r="B15" s="105" t="s">
        <v>48</v>
      </c>
      <c r="C15" s="106" t="s">
        <v>49</v>
      </c>
      <c r="D15" s="107">
        <v>0.5</v>
      </c>
      <c r="E15" s="105" t="s">
        <v>50</v>
      </c>
      <c r="F15" s="107"/>
      <c r="G15" s="108"/>
      <c r="H15" s="108"/>
      <c r="I15" s="105"/>
      <c r="J15" s="107"/>
    </row>
    <row r="16" spans="1:10" s="109" customFormat="1" ht="60" x14ac:dyDescent="0.2">
      <c r="A16" s="214"/>
      <c r="B16" s="105" t="s">
        <v>51</v>
      </c>
      <c r="C16" s="106" t="s">
        <v>52</v>
      </c>
      <c r="D16" s="107">
        <v>1</v>
      </c>
      <c r="E16" s="105" t="s">
        <v>53</v>
      </c>
      <c r="F16" s="107"/>
      <c r="G16" s="108"/>
      <c r="H16" s="108"/>
      <c r="I16" s="105"/>
      <c r="J16" s="107" t="s">
        <v>54</v>
      </c>
    </row>
    <row r="17" spans="1:10" s="109" customFormat="1" ht="30" x14ac:dyDescent="0.2">
      <c r="A17" s="214"/>
      <c r="B17" s="105" t="s">
        <v>55</v>
      </c>
      <c r="C17" s="106" t="s">
        <v>56</v>
      </c>
      <c r="D17" s="107" t="s">
        <v>57</v>
      </c>
      <c r="E17" s="105" t="s">
        <v>58</v>
      </c>
      <c r="F17" s="107"/>
      <c r="G17" s="108"/>
      <c r="H17" s="108"/>
      <c r="I17" s="105"/>
      <c r="J17" s="107"/>
    </row>
    <row r="18" spans="1:10" s="109" customFormat="1" ht="120" x14ac:dyDescent="0.2">
      <c r="A18" s="214"/>
      <c r="B18" s="105" t="s">
        <v>60</v>
      </c>
      <c r="C18" s="106" t="s">
        <v>61</v>
      </c>
      <c r="D18" s="107"/>
      <c r="E18" s="105"/>
      <c r="F18" s="107" t="s">
        <v>62</v>
      </c>
      <c r="G18" s="108">
        <v>0</v>
      </c>
      <c r="H18" s="108">
        <v>1</v>
      </c>
      <c r="I18" s="105" t="s">
        <v>63</v>
      </c>
      <c r="J18" s="107"/>
    </row>
    <row r="19" spans="1:10" s="109" customFormat="1" ht="105" x14ac:dyDescent="0.2">
      <c r="A19" s="214"/>
      <c r="B19" s="105" t="s">
        <v>64</v>
      </c>
      <c r="C19" s="106" t="s">
        <v>65</v>
      </c>
      <c r="D19" s="107"/>
      <c r="E19" s="105"/>
      <c r="F19" s="107">
        <v>0.25</v>
      </c>
      <c r="G19" s="108">
        <v>0</v>
      </c>
      <c r="H19" s="108">
        <v>0.5</v>
      </c>
      <c r="I19" s="105" t="s">
        <v>66</v>
      </c>
      <c r="J19" s="107"/>
    </row>
    <row r="20" spans="1:10" s="109" customFormat="1" ht="115" customHeight="1" x14ac:dyDescent="0.2">
      <c r="A20" s="214"/>
      <c r="B20" s="105" t="s">
        <v>67</v>
      </c>
      <c r="C20" s="110" t="s">
        <v>68</v>
      </c>
      <c r="D20" s="107" t="s">
        <v>69</v>
      </c>
      <c r="E20" s="105" t="s">
        <v>320</v>
      </c>
      <c r="F20" s="107"/>
      <c r="G20" s="108"/>
      <c r="H20" s="108"/>
      <c r="I20" s="105"/>
      <c r="J20" s="111"/>
    </row>
    <row r="21" spans="1:10" s="109" customFormat="1" ht="46" customHeight="1" x14ac:dyDescent="0.2">
      <c r="A21" s="214"/>
      <c r="B21" s="112" t="s">
        <v>103</v>
      </c>
      <c r="C21" s="203" t="s">
        <v>106</v>
      </c>
      <c r="D21" s="111" t="s">
        <v>173</v>
      </c>
      <c r="E21" s="200" t="s">
        <v>107</v>
      </c>
      <c r="F21" s="113"/>
      <c r="G21" s="114"/>
      <c r="H21" s="114"/>
      <c r="I21" s="200" t="s">
        <v>176</v>
      </c>
      <c r="J21" s="206" t="s">
        <v>246</v>
      </c>
    </row>
    <row r="22" spans="1:10" s="109" customFormat="1" ht="52" customHeight="1" x14ac:dyDescent="0.2">
      <c r="A22" s="214"/>
      <c r="B22" s="115" t="s">
        <v>104</v>
      </c>
      <c r="C22" s="204"/>
      <c r="D22" s="114" t="s">
        <v>174</v>
      </c>
      <c r="E22" s="202"/>
      <c r="F22" s="114"/>
      <c r="G22" s="107"/>
      <c r="H22" s="107"/>
      <c r="I22" s="201"/>
      <c r="J22" s="207"/>
    </row>
    <row r="23" spans="1:10" s="109" customFormat="1" ht="180" x14ac:dyDescent="0.2">
      <c r="A23" s="214"/>
      <c r="B23" s="105" t="s">
        <v>105</v>
      </c>
      <c r="C23" s="205"/>
      <c r="D23" s="111" t="s">
        <v>175</v>
      </c>
      <c r="E23" s="106" t="s">
        <v>108</v>
      </c>
      <c r="F23" s="107"/>
      <c r="G23" s="107"/>
      <c r="H23" s="107"/>
      <c r="I23" s="202"/>
      <c r="J23" s="208"/>
    </row>
    <row r="24" spans="1:10" s="109" customFormat="1" ht="255" x14ac:dyDescent="0.2">
      <c r="A24" s="185"/>
      <c r="B24" s="105" t="s">
        <v>98</v>
      </c>
      <c r="C24" s="106" t="s">
        <v>99</v>
      </c>
      <c r="D24" s="107" t="s">
        <v>101</v>
      </c>
      <c r="E24" s="105" t="s">
        <v>102</v>
      </c>
      <c r="F24" s="107"/>
      <c r="G24" s="108"/>
      <c r="H24" s="108"/>
      <c r="I24" s="105"/>
      <c r="J24" s="107" t="s">
        <v>247</v>
      </c>
    </row>
    <row r="25" spans="1:10" s="91" customFormat="1" ht="73" customHeight="1" x14ac:dyDescent="0.2">
      <c r="A25" s="126" t="s">
        <v>241</v>
      </c>
      <c r="B25" s="88" t="s">
        <v>240</v>
      </c>
      <c r="C25" s="127" t="s">
        <v>242</v>
      </c>
      <c r="D25" s="90">
        <v>0</v>
      </c>
      <c r="E25" s="89" t="s">
        <v>228</v>
      </c>
      <c r="F25" s="90"/>
      <c r="G25" s="90"/>
      <c r="H25" s="90"/>
      <c r="I25" s="128"/>
      <c r="J25" s="129"/>
    </row>
    <row r="26" spans="1:10" s="119" customFormat="1" ht="42" customHeight="1" x14ac:dyDescent="0.2">
      <c r="A26" s="186" t="s">
        <v>87</v>
      </c>
      <c r="B26" s="116" t="s">
        <v>70</v>
      </c>
      <c r="C26" s="121" t="s">
        <v>71</v>
      </c>
      <c r="D26" s="117" t="s">
        <v>72</v>
      </c>
      <c r="E26" s="116"/>
      <c r="F26" s="117"/>
      <c r="G26" s="122"/>
      <c r="H26" s="122"/>
      <c r="I26" s="116"/>
      <c r="J26" s="123" t="s">
        <v>100</v>
      </c>
    </row>
    <row r="27" spans="1:10" s="119" customFormat="1" ht="45" x14ac:dyDescent="0.2">
      <c r="A27" s="186"/>
      <c r="B27" s="116" t="s">
        <v>73</v>
      </c>
      <c r="C27" s="124" t="s">
        <v>86</v>
      </c>
      <c r="D27" s="117"/>
      <c r="E27" s="116"/>
      <c r="F27" s="117">
        <v>0.25</v>
      </c>
      <c r="G27" s="122">
        <v>0</v>
      </c>
      <c r="H27" s="122">
        <v>1</v>
      </c>
      <c r="I27" s="116" t="s">
        <v>88</v>
      </c>
      <c r="J27" s="123" t="s">
        <v>81</v>
      </c>
    </row>
    <row r="28" spans="1:10" s="119" customFormat="1" ht="68" customHeight="1" x14ac:dyDescent="0.2">
      <c r="A28" s="186"/>
      <c r="B28" s="116" t="s">
        <v>89</v>
      </c>
      <c r="C28" s="125" t="s">
        <v>91</v>
      </c>
      <c r="D28" s="117">
        <v>50</v>
      </c>
      <c r="E28" s="116" t="s">
        <v>92</v>
      </c>
      <c r="F28" s="117"/>
      <c r="G28" s="122"/>
      <c r="H28" s="122"/>
      <c r="I28" s="116"/>
      <c r="J28" s="117"/>
    </row>
    <row r="29" spans="1:10" s="119" customFormat="1" ht="65" customHeight="1" x14ac:dyDescent="0.2">
      <c r="A29" s="186"/>
      <c r="B29" s="116" t="s">
        <v>90</v>
      </c>
      <c r="C29" s="125" t="s">
        <v>91</v>
      </c>
      <c r="D29" s="117">
        <v>0</v>
      </c>
      <c r="E29" s="116" t="s">
        <v>92</v>
      </c>
      <c r="F29" s="117"/>
      <c r="G29" s="122"/>
      <c r="H29" s="122"/>
      <c r="I29" s="116"/>
      <c r="J29" s="117"/>
    </row>
    <row r="30" spans="1:10" s="119" customFormat="1" ht="66" customHeight="1" x14ac:dyDescent="0.2">
      <c r="A30" s="186"/>
      <c r="B30" s="116" t="s">
        <v>74</v>
      </c>
      <c r="C30" s="125" t="s">
        <v>321</v>
      </c>
      <c r="D30" s="117"/>
      <c r="E30" s="116"/>
      <c r="F30" s="117">
        <v>5</v>
      </c>
      <c r="G30" s="122">
        <v>1</v>
      </c>
      <c r="H30" s="122">
        <v>12</v>
      </c>
      <c r="I30" s="116" t="s">
        <v>85</v>
      </c>
      <c r="J30" s="117" t="s">
        <v>81</v>
      </c>
    </row>
    <row r="31" spans="1:10" s="119" customFormat="1" ht="69" customHeight="1" x14ac:dyDescent="0.2">
      <c r="A31" s="186"/>
      <c r="B31" s="116" t="s">
        <v>82</v>
      </c>
      <c r="C31" s="125" t="s">
        <v>83</v>
      </c>
      <c r="D31" s="117">
        <v>20</v>
      </c>
      <c r="E31" s="116" t="s">
        <v>84</v>
      </c>
      <c r="F31" s="117"/>
      <c r="G31" s="122"/>
      <c r="H31" s="122"/>
      <c r="I31" s="116"/>
      <c r="J31" s="117"/>
    </row>
    <row r="32" spans="1:10" s="119" customFormat="1" ht="60" x14ac:dyDescent="0.2">
      <c r="A32" s="186"/>
      <c r="B32" s="116" t="s">
        <v>75</v>
      </c>
      <c r="C32" s="118" t="s">
        <v>76</v>
      </c>
      <c r="D32" s="117" t="s">
        <v>77</v>
      </c>
      <c r="E32" s="116" t="s">
        <v>78</v>
      </c>
      <c r="F32" s="117" t="s">
        <v>80</v>
      </c>
      <c r="G32" s="122">
        <v>0</v>
      </c>
      <c r="H32" s="122">
        <v>1</v>
      </c>
      <c r="I32" s="116" t="s">
        <v>79</v>
      </c>
      <c r="J32" s="117"/>
    </row>
    <row r="33" spans="1:10" s="134" customFormat="1" ht="180" customHeight="1" x14ac:dyDescent="0.2">
      <c r="A33" s="211" t="s">
        <v>250</v>
      </c>
      <c r="B33" s="130" t="s">
        <v>112</v>
      </c>
      <c r="C33" s="131" t="s">
        <v>113</v>
      </c>
      <c r="D33" s="132" t="b">
        <v>0</v>
      </c>
      <c r="E33" s="130" t="s">
        <v>228</v>
      </c>
      <c r="F33" s="132"/>
      <c r="G33" s="133"/>
      <c r="H33" s="133"/>
      <c r="I33" s="130"/>
      <c r="J33" s="209" t="s">
        <v>249</v>
      </c>
    </row>
    <row r="34" spans="1:10" s="134" customFormat="1" ht="60" x14ac:dyDescent="0.2">
      <c r="A34" s="211"/>
      <c r="B34" s="130" t="s">
        <v>114</v>
      </c>
      <c r="C34" s="131" t="s">
        <v>116</v>
      </c>
      <c r="D34" s="132" t="s">
        <v>115</v>
      </c>
      <c r="E34" s="130" t="s">
        <v>248</v>
      </c>
      <c r="F34" s="132"/>
      <c r="G34" s="133"/>
      <c r="H34" s="133"/>
      <c r="I34" s="130"/>
      <c r="J34" s="210"/>
    </row>
  </sheetData>
  <mergeCells count="18">
    <mergeCell ref="B2:B3"/>
    <mergeCell ref="J2:J3"/>
    <mergeCell ref="C2:C3"/>
    <mergeCell ref="C11:C12"/>
    <mergeCell ref="E11:E12"/>
    <mergeCell ref="J11:J12"/>
    <mergeCell ref="D2:E2"/>
    <mergeCell ref="F2:I2"/>
    <mergeCell ref="A33:A34"/>
    <mergeCell ref="A4:A8"/>
    <mergeCell ref="A10:A12"/>
    <mergeCell ref="A13:A23"/>
    <mergeCell ref="B11:B12"/>
    <mergeCell ref="I21:I23"/>
    <mergeCell ref="C21:C23"/>
    <mergeCell ref="E21:E22"/>
    <mergeCell ref="J21:J23"/>
    <mergeCell ref="J33:J34"/>
  </mergeCells>
  <pageMargins left="0.7" right="0.7" top="0.75" bottom="0.75" header="0.3" footer="0.3"/>
  <pageSetup paperSize="9" fitToWidth="0" fitToHeight="0"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7D14-B9FC-F841-B93D-AAB4964345E6}">
  <dimension ref="A1:H144"/>
  <sheetViews>
    <sheetView topLeftCell="A106" zoomScale="125" workbookViewId="0">
      <selection activeCell="G117" sqref="G117"/>
    </sheetView>
  </sheetViews>
  <sheetFormatPr baseColWidth="10" defaultRowHeight="16" x14ac:dyDescent="0.2"/>
  <cols>
    <col min="8" max="8" width="61.83203125" bestFit="1" customWidth="1"/>
  </cols>
  <sheetData>
    <row r="1" spans="1:8" s="12" customFormat="1" ht="17" thickBot="1" x14ac:dyDescent="0.25">
      <c r="A1" s="27" t="s">
        <v>147</v>
      </c>
      <c r="B1" s="29" t="s">
        <v>146</v>
      </c>
      <c r="C1" s="30" t="s">
        <v>145</v>
      </c>
      <c r="D1" s="28" t="s">
        <v>144</v>
      </c>
      <c r="E1" s="13" t="s">
        <v>143</v>
      </c>
      <c r="H1" s="1" t="s">
        <v>159</v>
      </c>
    </row>
    <row r="2" spans="1:8" s="31" customFormat="1" x14ac:dyDescent="0.2">
      <c r="A2" s="32" t="s">
        <v>134</v>
      </c>
      <c r="B2" s="36" t="s">
        <v>124</v>
      </c>
      <c r="C2" s="37" t="s">
        <v>132</v>
      </c>
      <c r="D2" s="33" t="s">
        <v>133</v>
      </c>
      <c r="E2" s="38">
        <v>0.12</v>
      </c>
      <c r="H2" s="230" t="s">
        <v>324</v>
      </c>
    </row>
    <row r="3" spans="1:8" s="31" customFormat="1" x14ac:dyDescent="0.2">
      <c r="A3" s="34" t="s">
        <v>134</v>
      </c>
      <c r="B3" s="39" t="s">
        <v>124</v>
      </c>
      <c r="C3" s="40" t="s">
        <v>132</v>
      </c>
      <c r="D3" s="35" t="s">
        <v>127</v>
      </c>
      <c r="E3" s="41">
        <v>0.88</v>
      </c>
      <c r="H3" s="230"/>
    </row>
    <row r="4" spans="1:8" s="31" customFormat="1" x14ac:dyDescent="0.2">
      <c r="A4" s="34" t="s">
        <v>134</v>
      </c>
      <c r="B4" s="39" t="s">
        <v>124</v>
      </c>
      <c r="C4" s="40" t="s">
        <v>132</v>
      </c>
      <c r="D4" s="35" t="s">
        <v>125</v>
      </c>
      <c r="E4" s="41">
        <v>0</v>
      </c>
      <c r="H4" s="230"/>
    </row>
    <row r="5" spans="1:8" s="31" customFormat="1" x14ac:dyDescent="0.2">
      <c r="A5" s="34" t="s">
        <v>134</v>
      </c>
      <c r="B5" s="39" t="s">
        <v>124</v>
      </c>
      <c r="C5" s="40" t="s">
        <v>131</v>
      </c>
      <c r="D5" s="35" t="s">
        <v>133</v>
      </c>
      <c r="E5" s="38">
        <v>0.12</v>
      </c>
      <c r="H5" s="230"/>
    </row>
    <row r="6" spans="1:8" s="31" customFormat="1" x14ac:dyDescent="0.2">
      <c r="A6" s="34" t="s">
        <v>134</v>
      </c>
      <c r="B6" s="39" t="s">
        <v>124</v>
      </c>
      <c r="C6" s="40" t="s">
        <v>131</v>
      </c>
      <c r="D6" s="35" t="s">
        <v>127</v>
      </c>
      <c r="E6" s="41">
        <v>0.88</v>
      </c>
      <c r="H6" s="230"/>
    </row>
    <row r="7" spans="1:8" s="31" customFormat="1" x14ac:dyDescent="0.2">
      <c r="A7" s="34" t="s">
        <v>134</v>
      </c>
      <c r="B7" s="39" t="s">
        <v>124</v>
      </c>
      <c r="C7" s="40" t="s">
        <v>131</v>
      </c>
      <c r="D7" s="35" t="s">
        <v>125</v>
      </c>
      <c r="E7" s="41">
        <v>0</v>
      </c>
      <c r="H7" s="230"/>
    </row>
    <row r="8" spans="1:8" s="31" customFormat="1" x14ac:dyDescent="0.2">
      <c r="A8" s="34" t="s">
        <v>134</v>
      </c>
      <c r="B8" s="39" t="s">
        <v>124</v>
      </c>
      <c r="C8" s="40" t="s">
        <v>130</v>
      </c>
      <c r="D8" s="35" t="s">
        <v>133</v>
      </c>
      <c r="E8" s="38">
        <v>0.12</v>
      </c>
      <c r="H8" s="230"/>
    </row>
    <row r="9" spans="1:8" s="31" customFormat="1" x14ac:dyDescent="0.2">
      <c r="A9" s="34" t="s">
        <v>134</v>
      </c>
      <c r="B9" s="39" t="s">
        <v>124</v>
      </c>
      <c r="C9" s="40" t="s">
        <v>130</v>
      </c>
      <c r="D9" s="35" t="s">
        <v>127</v>
      </c>
      <c r="E9" s="41">
        <v>0.88</v>
      </c>
      <c r="H9" s="230"/>
    </row>
    <row r="10" spans="1:8" s="31" customFormat="1" x14ac:dyDescent="0.2">
      <c r="A10" s="34" t="s">
        <v>134</v>
      </c>
      <c r="B10" s="39" t="s">
        <v>124</v>
      </c>
      <c r="C10" s="40" t="s">
        <v>130</v>
      </c>
      <c r="D10" s="35" t="s">
        <v>125</v>
      </c>
      <c r="E10" s="41">
        <v>0</v>
      </c>
      <c r="H10" s="230"/>
    </row>
    <row r="11" spans="1:8" s="31" customFormat="1" x14ac:dyDescent="0.2">
      <c r="A11" s="34" t="s">
        <v>134</v>
      </c>
      <c r="B11" s="39" t="s">
        <v>124</v>
      </c>
      <c r="C11" s="40" t="s">
        <v>129</v>
      </c>
      <c r="D11" s="35" t="s">
        <v>133</v>
      </c>
      <c r="E11" s="38">
        <v>0.12</v>
      </c>
      <c r="H11" s="230"/>
    </row>
    <row r="12" spans="1:8" s="31" customFormat="1" x14ac:dyDescent="0.2">
      <c r="A12" s="34" t="s">
        <v>134</v>
      </c>
      <c r="B12" s="39" t="s">
        <v>124</v>
      </c>
      <c r="C12" s="40" t="s">
        <v>129</v>
      </c>
      <c r="D12" s="35" t="s">
        <v>127</v>
      </c>
      <c r="E12" s="41">
        <v>0.88</v>
      </c>
      <c r="H12" s="230"/>
    </row>
    <row r="13" spans="1:8" s="31" customFormat="1" x14ac:dyDescent="0.2">
      <c r="A13" s="34" t="s">
        <v>134</v>
      </c>
      <c r="B13" s="39" t="s">
        <v>124</v>
      </c>
      <c r="C13" s="40" t="s">
        <v>129</v>
      </c>
      <c r="D13" s="35" t="s">
        <v>125</v>
      </c>
      <c r="E13" s="41">
        <v>0</v>
      </c>
      <c r="H13" s="230"/>
    </row>
    <row r="14" spans="1:8" s="31" customFormat="1" x14ac:dyDescent="0.2">
      <c r="A14" s="34" t="s">
        <v>134</v>
      </c>
      <c r="B14" s="39" t="s">
        <v>124</v>
      </c>
      <c r="C14" s="40" t="s">
        <v>128</v>
      </c>
      <c r="D14" s="35" t="s">
        <v>133</v>
      </c>
      <c r="E14" s="38">
        <v>0.12</v>
      </c>
      <c r="H14" s="230"/>
    </row>
    <row r="15" spans="1:8" s="31" customFormat="1" x14ac:dyDescent="0.2">
      <c r="A15" s="34" t="s">
        <v>134</v>
      </c>
      <c r="B15" s="39" t="s">
        <v>124</v>
      </c>
      <c r="C15" s="40" t="s">
        <v>128</v>
      </c>
      <c r="D15" s="35" t="s">
        <v>127</v>
      </c>
      <c r="E15" s="41">
        <v>0.88</v>
      </c>
      <c r="H15" s="230"/>
    </row>
    <row r="16" spans="1:8" s="31" customFormat="1" x14ac:dyDescent="0.2">
      <c r="A16" s="34" t="s">
        <v>134</v>
      </c>
      <c r="B16" s="39" t="s">
        <v>124</v>
      </c>
      <c r="C16" s="40" t="s">
        <v>128</v>
      </c>
      <c r="D16" s="35" t="s">
        <v>125</v>
      </c>
      <c r="E16" s="41">
        <v>0</v>
      </c>
      <c r="H16" s="230"/>
    </row>
    <row r="17" spans="1:8" s="31" customFormat="1" x14ac:dyDescent="0.2">
      <c r="A17" s="34" t="s">
        <v>134</v>
      </c>
      <c r="B17" s="39" t="s">
        <v>124</v>
      </c>
      <c r="C17" s="40" t="s">
        <v>126</v>
      </c>
      <c r="D17" s="35" t="s">
        <v>133</v>
      </c>
      <c r="E17" s="38">
        <v>0.12</v>
      </c>
      <c r="H17" s="230"/>
    </row>
    <row r="18" spans="1:8" s="31" customFormat="1" x14ac:dyDescent="0.2">
      <c r="A18" s="34" t="s">
        <v>134</v>
      </c>
      <c r="B18" s="39" t="s">
        <v>124</v>
      </c>
      <c r="C18" s="40" t="s">
        <v>126</v>
      </c>
      <c r="D18" s="35" t="s">
        <v>127</v>
      </c>
      <c r="E18" s="41">
        <v>0.88</v>
      </c>
      <c r="H18" s="230"/>
    </row>
    <row r="19" spans="1:8" s="31" customFormat="1" x14ac:dyDescent="0.2">
      <c r="A19" s="34" t="s">
        <v>134</v>
      </c>
      <c r="B19" s="39" t="s">
        <v>124</v>
      </c>
      <c r="C19" s="40" t="s">
        <v>126</v>
      </c>
      <c r="D19" s="35" t="s">
        <v>125</v>
      </c>
      <c r="E19" s="41">
        <v>0</v>
      </c>
      <c r="H19" s="230"/>
    </row>
    <row r="20" spans="1:8" s="31" customFormat="1" x14ac:dyDescent="0.2">
      <c r="A20" s="34" t="s">
        <v>134</v>
      </c>
      <c r="B20" s="39" t="s">
        <v>123</v>
      </c>
      <c r="C20" s="40" t="s">
        <v>132</v>
      </c>
      <c r="D20" s="35" t="s">
        <v>133</v>
      </c>
      <c r="E20" s="38">
        <v>0.12</v>
      </c>
      <c r="H20" s="230"/>
    </row>
    <row r="21" spans="1:8" s="31" customFormat="1" x14ac:dyDescent="0.2">
      <c r="A21" s="34" t="s">
        <v>134</v>
      </c>
      <c r="B21" s="39" t="s">
        <v>123</v>
      </c>
      <c r="C21" s="40" t="s">
        <v>132</v>
      </c>
      <c r="D21" s="35" t="s">
        <v>127</v>
      </c>
      <c r="E21" s="41">
        <v>0.88</v>
      </c>
      <c r="H21" s="230"/>
    </row>
    <row r="22" spans="1:8" s="31" customFormat="1" x14ac:dyDescent="0.2">
      <c r="A22" s="34" t="s">
        <v>134</v>
      </c>
      <c r="B22" s="39" t="s">
        <v>123</v>
      </c>
      <c r="C22" s="40" t="s">
        <v>132</v>
      </c>
      <c r="D22" s="35" t="s">
        <v>125</v>
      </c>
      <c r="E22" s="41">
        <v>0</v>
      </c>
      <c r="H22" s="230"/>
    </row>
    <row r="23" spans="1:8" s="31" customFormat="1" x14ac:dyDescent="0.2">
      <c r="A23" s="34" t="s">
        <v>134</v>
      </c>
      <c r="B23" s="39" t="s">
        <v>123</v>
      </c>
      <c r="C23" s="40" t="s">
        <v>131</v>
      </c>
      <c r="D23" s="35" t="s">
        <v>133</v>
      </c>
      <c r="E23" s="38">
        <v>0.12</v>
      </c>
      <c r="H23" s="230"/>
    </row>
    <row r="24" spans="1:8" s="31" customFormat="1" x14ac:dyDescent="0.2">
      <c r="A24" s="34" t="s">
        <v>134</v>
      </c>
      <c r="B24" s="39" t="s">
        <v>123</v>
      </c>
      <c r="C24" s="40" t="s">
        <v>131</v>
      </c>
      <c r="D24" s="35" t="s">
        <v>127</v>
      </c>
      <c r="E24" s="41">
        <v>0.88</v>
      </c>
      <c r="H24" s="230"/>
    </row>
    <row r="25" spans="1:8" s="31" customFormat="1" x14ac:dyDescent="0.2">
      <c r="A25" s="34" t="s">
        <v>134</v>
      </c>
      <c r="B25" s="39" t="s">
        <v>123</v>
      </c>
      <c r="C25" s="40" t="s">
        <v>131</v>
      </c>
      <c r="D25" s="35" t="s">
        <v>125</v>
      </c>
      <c r="E25" s="41">
        <v>0</v>
      </c>
      <c r="H25" s="230"/>
    </row>
    <row r="26" spans="1:8" s="31" customFormat="1" x14ac:dyDescent="0.2">
      <c r="A26" s="34" t="s">
        <v>134</v>
      </c>
      <c r="B26" s="39" t="s">
        <v>123</v>
      </c>
      <c r="C26" s="40" t="s">
        <v>130</v>
      </c>
      <c r="D26" s="35" t="s">
        <v>133</v>
      </c>
      <c r="E26" s="38">
        <v>0.12</v>
      </c>
      <c r="H26" s="230"/>
    </row>
    <row r="27" spans="1:8" s="31" customFormat="1" x14ac:dyDescent="0.2">
      <c r="A27" s="34" t="s">
        <v>134</v>
      </c>
      <c r="B27" s="39" t="s">
        <v>123</v>
      </c>
      <c r="C27" s="40" t="s">
        <v>130</v>
      </c>
      <c r="D27" s="35" t="s">
        <v>127</v>
      </c>
      <c r="E27" s="41">
        <v>0.88</v>
      </c>
      <c r="H27" s="230"/>
    </row>
    <row r="28" spans="1:8" s="31" customFormat="1" x14ac:dyDescent="0.2">
      <c r="A28" s="34" t="s">
        <v>134</v>
      </c>
      <c r="B28" s="39" t="s">
        <v>123</v>
      </c>
      <c r="C28" s="40" t="s">
        <v>130</v>
      </c>
      <c r="D28" s="35" t="s">
        <v>125</v>
      </c>
      <c r="E28" s="41">
        <v>0</v>
      </c>
      <c r="H28" s="230"/>
    </row>
    <row r="29" spans="1:8" s="31" customFormat="1" x14ac:dyDescent="0.2">
      <c r="A29" s="34" t="s">
        <v>134</v>
      </c>
      <c r="B29" s="39" t="s">
        <v>123</v>
      </c>
      <c r="C29" s="40" t="s">
        <v>129</v>
      </c>
      <c r="D29" s="35" t="s">
        <v>133</v>
      </c>
      <c r="E29" s="38">
        <v>0.12</v>
      </c>
      <c r="H29" s="230"/>
    </row>
    <row r="30" spans="1:8" s="31" customFormat="1" x14ac:dyDescent="0.2">
      <c r="A30" s="34" t="s">
        <v>134</v>
      </c>
      <c r="B30" s="39" t="s">
        <v>123</v>
      </c>
      <c r="C30" s="40" t="s">
        <v>129</v>
      </c>
      <c r="D30" s="35" t="s">
        <v>127</v>
      </c>
      <c r="E30" s="41">
        <v>0.88</v>
      </c>
      <c r="H30" s="230"/>
    </row>
    <row r="31" spans="1:8" s="31" customFormat="1" x14ac:dyDescent="0.2">
      <c r="A31" s="34" t="s">
        <v>134</v>
      </c>
      <c r="B31" s="39" t="s">
        <v>123</v>
      </c>
      <c r="C31" s="40" t="s">
        <v>129</v>
      </c>
      <c r="D31" s="35" t="s">
        <v>125</v>
      </c>
      <c r="E31" s="41">
        <v>0</v>
      </c>
      <c r="H31" s="230"/>
    </row>
    <row r="32" spans="1:8" s="31" customFormat="1" x14ac:dyDescent="0.2">
      <c r="A32" s="34" t="s">
        <v>134</v>
      </c>
      <c r="B32" s="39" t="s">
        <v>123</v>
      </c>
      <c r="C32" s="40" t="s">
        <v>128</v>
      </c>
      <c r="D32" s="35" t="s">
        <v>133</v>
      </c>
      <c r="E32" s="38">
        <v>0.12</v>
      </c>
      <c r="H32" s="230"/>
    </row>
    <row r="33" spans="1:8" s="31" customFormat="1" x14ac:dyDescent="0.2">
      <c r="A33" s="34" t="s">
        <v>134</v>
      </c>
      <c r="B33" s="39" t="s">
        <v>123</v>
      </c>
      <c r="C33" s="40" t="s">
        <v>128</v>
      </c>
      <c r="D33" s="35" t="s">
        <v>127</v>
      </c>
      <c r="E33" s="41">
        <v>0.88</v>
      </c>
      <c r="H33" s="230"/>
    </row>
    <row r="34" spans="1:8" s="31" customFormat="1" x14ac:dyDescent="0.2">
      <c r="A34" s="34" t="s">
        <v>134</v>
      </c>
      <c r="B34" s="39" t="s">
        <v>123</v>
      </c>
      <c r="C34" s="40" t="s">
        <v>128</v>
      </c>
      <c r="D34" s="35" t="s">
        <v>125</v>
      </c>
      <c r="E34" s="41">
        <v>0</v>
      </c>
      <c r="H34" s="230"/>
    </row>
    <row r="35" spans="1:8" s="31" customFormat="1" x14ac:dyDescent="0.2">
      <c r="A35" s="34" t="s">
        <v>134</v>
      </c>
      <c r="B35" s="39" t="s">
        <v>123</v>
      </c>
      <c r="C35" s="40" t="s">
        <v>126</v>
      </c>
      <c r="D35" s="35" t="s">
        <v>133</v>
      </c>
      <c r="E35" s="38">
        <v>0.12</v>
      </c>
      <c r="H35" s="230"/>
    </row>
    <row r="36" spans="1:8" s="31" customFormat="1" x14ac:dyDescent="0.2">
      <c r="A36" s="34" t="s">
        <v>134</v>
      </c>
      <c r="B36" s="39" t="s">
        <v>123</v>
      </c>
      <c r="C36" s="40" t="s">
        <v>126</v>
      </c>
      <c r="D36" s="35" t="s">
        <v>127</v>
      </c>
      <c r="E36" s="41">
        <v>0.88</v>
      </c>
      <c r="H36" s="230"/>
    </row>
    <row r="37" spans="1:8" s="31" customFormat="1" x14ac:dyDescent="0.2">
      <c r="A37" s="34" t="s">
        <v>134</v>
      </c>
      <c r="B37" s="39" t="s">
        <v>123</v>
      </c>
      <c r="C37" s="40" t="s">
        <v>126</v>
      </c>
      <c r="D37" s="35" t="s">
        <v>125</v>
      </c>
      <c r="E37" s="41">
        <v>0</v>
      </c>
      <c r="H37" s="230"/>
    </row>
    <row r="38" spans="1:8" s="31" customFormat="1" x14ac:dyDescent="0.2">
      <c r="A38" s="34" t="s">
        <v>134</v>
      </c>
      <c r="B38" s="39" t="s">
        <v>122</v>
      </c>
      <c r="C38" s="40" t="s">
        <v>132</v>
      </c>
      <c r="D38" s="35" t="s">
        <v>133</v>
      </c>
      <c r="E38" s="41">
        <v>0.94</v>
      </c>
      <c r="H38" s="230"/>
    </row>
    <row r="39" spans="1:8" s="31" customFormat="1" x14ac:dyDescent="0.2">
      <c r="A39" s="34" t="s">
        <v>134</v>
      </c>
      <c r="B39" s="39" t="s">
        <v>122</v>
      </c>
      <c r="C39" s="40" t="s">
        <v>132</v>
      </c>
      <c r="D39" s="35" t="s">
        <v>127</v>
      </c>
      <c r="E39" s="41">
        <v>0.06</v>
      </c>
      <c r="H39" s="230"/>
    </row>
    <row r="40" spans="1:8" s="31" customFormat="1" x14ac:dyDescent="0.2">
      <c r="A40" s="34" t="s">
        <v>134</v>
      </c>
      <c r="B40" s="39" t="s">
        <v>122</v>
      </c>
      <c r="C40" s="40" t="s">
        <v>132</v>
      </c>
      <c r="D40" s="35" t="s">
        <v>125</v>
      </c>
      <c r="E40" s="41">
        <v>0</v>
      </c>
      <c r="H40" s="230"/>
    </row>
    <row r="41" spans="1:8" s="31" customFormat="1" x14ac:dyDescent="0.2">
      <c r="A41" s="34" t="s">
        <v>134</v>
      </c>
      <c r="B41" s="39" t="s">
        <v>122</v>
      </c>
      <c r="C41" s="40" t="s">
        <v>131</v>
      </c>
      <c r="D41" s="35" t="s">
        <v>133</v>
      </c>
      <c r="E41" s="41">
        <v>0.94</v>
      </c>
      <c r="H41" s="230"/>
    </row>
    <row r="42" spans="1:8" s="31" customFormat="1" x14ac:dyDescent="0.2">
      <c r="A42" s="34" t="s">
        <v>134</v>
      </c>
      <c r="B42" s="39" t="s">
        <v>122</v>
      </c>
      <c r="C42" s="40" t="s">
        <v>131</v>
      </c>
      <c r="D42" s="35" t="s">
        <v>127</v>
      </c>
      <c r="E42" s="41">
        <v>0.06</v>
      </c>
      <c r="H42" s="230"/>
    </row>
    <row r="43" spans="1:8" s="31" customFormat="1" x14ac:dyDescent="0.2">
      <c r="A43" s="34" t="s">
        <v>134</v>
      </c>
      <c r="B43" s="39" t="s">
        <v>122</v>
      </c>
      <c r="C43" s="40" t="s">
        <v>131</v>
      </c>
      <c r="D43" s="35" t="s">
        <v>125</v>
      </c>
      <c r="E43" s="41">
        <v>0</v>
      </c>
      <c r="H43" s="230"/>
    </row>
    <row r="44" spans="1:8" s="31" customFormat="1" x14ac:dyDescent="0.2">
      <c r="A44" s="34" t="s">
        <v>134</v>
      </c>
      <c r="B44" s="39" t="s">
        <v>122</v>
      </c>
      <c r="C44" s="40" t="s">
        <v>130</v>
      </c>
      <c r="D44" s="35" t="s">
        <v>133</v>
      </c>
      <c r="E44" s="41">
        <v>0.94</v>
      </c>
      <c r="H44" s="230"/>
    </row>
    <row r="45" spans="1:8" s="31" customFormat="1" x14ac:dyDescent="0.2">
      <c r="A45" s="34" t="s">
        <v>134</v>
      </c>
      <c r="B45" s="39" t="s">
        <v>122</v>
      </c>
      <c r="C45" s="40" t="s">
        <v>130</v>
      </c>
      <c r="D45" s="35" t="s">
        <v>127</v>
      </c>
      <c r="E45" s="41">
        <v>0.06</v>
      </c>
      <c r="H45" s="230"/>
    </row>
    <row r="46" spans="1:8" s="31" customFormat="1" x14ac:dyDescent="0.2">
      <c r="A46" s="34" t="s">
        <v>134</v>
      </c>
      <c r="B46" s="39" t="s">
        <v>122</v>
      </c>
      <c r="C46" s="40" t="s">
        <v>130</v>
      </c>
      <c r="D46" s="35" t="s">
        <v>125</v>
      </c>
      <c r="E46" s="41">
        <v>0</v>
      </c>
      <c r="H46" s="230"/>
    </row>
    <row r="47" spans="1:8" s="31" customFormat="1" x14ac:dyDescent="0.2">
      <c r="A47" s="34" t="s">
        <v>134</v>
      </c>
      <c r="B47" s="39" t="s">
        <v>122</v>
      </c>
      <c r="C47" s="40" t="s">
        <v>129</v>
      </c>
      <c r="D47" s="35" t="s">
        <v>133</v>
      </c>
      <c r="E47" s="41">
        <v>0.94</v>
      </c>
      <c r="H47" s="230"/>
    </row>
    <row r="48" spans="1:8" s="31" customFormat="1" x14ac:dyDescent="0.2">
      <c r="A48" s="34" t="s">
        <v>134</v>
      </c>
      <c r="B48" s="39" t="s">
        <v>122</v>
      </c>
      <c r="C48" s="40" t="s">
        <v>129</v>
      </c>
      <c r="D48" s="35" t="s">
        <v>127</v>
      </c>
      <c r="E48" s="41">
        <v>0.06</v>
      </c>
      <c r="H48" s="230"/>
    </row>
    <row r="49" spans="1:8" s="31" customFormat="1" x14ac:dyDescent="0.2">
      <c r="A49" s="34" t="s">
        <v>134</v>
      </c>
      <c r="B49" s="39" t="s">
        <v>122</v>
      </c>
      <c r="C49" s="40" t="s">
        <v>129</v>
      </c>
      <c r="D49" s="35" t="s">
        <v>125</v>
      </c>
      <c r="E49" s="41">
        <v>0</v>
      </c>
      <c r="H49" s="230"/>
    </row>
    <row r="50" spans="1:8" s="31" customFormat="1" x14ac:dyDescent="0.2">
      <c r="A50" s="34" t="s">
        <v>134</v>
      </c>
      <c r="B50" s="39" t="s">
        <v>122</v>
      </c>
      <c r="C50" s="40" t="s">
        <v>128</v>
      </c>
      <c r="D50" s="35" t="s">
        <v>133</v>
      </c>
      <c r="E50" s="41">
        <v>0.94</v>
      </c>
      <c r="H50" s="230"/>
    </row>
    <row r="51" spans="1:8" s="31" customFormat="1" x14ac:dyDescent="0.2">
      <c r="A51" s="34" t="s">
        <v>134</v>
      </c>
      <c r="B51" s="39" t="s">
        <v>122</v>
      </c>
      <c r="C51" s="40" t="s">
        <v>128</v>
      </c>
      <c r="D51" s="35" t="s">
        <v>127</v>
      </c>
      <c r="E51" s="41">
        <v>0.06</v>
      </c>
      <c r="H51" s="230"/>
    </row>
    <row r="52" spans="1:8" s="31" customFormat="1" x14ac:dyDescent="0.2">
      <c r="A52" s="34" t="s">
        <v>134</v>
      </c>
      <c r="B52" s="39" t="s">
        <v>122</v>
      </c>
      <c r="C52" s="40" t="s">
        <v>128</v>
      </c>
      <c r="D52" s="35" t="s">
        <v>125</v>
      </c>
      <c r="E52" s="41">
        <v>0</v>
      </c>
      <c r="H52" s="230"/>
    </row>
    <row r="53" spans="1:8" s="31" customFormat="1" x14ac:dyDescent="0.2">
      <c r="A53" s="34" t="s">
        <v>134</v>
      </c>
      <c r="B53" s="39" t="s">
        <v>122</v>
      </c>
      <c r="C53" s="40" t="s">
        <v>126</v>
      </c>
      <c r="D53" s="35" t="s">
        <v>133</v>
      </c>
      <c r="E53" s="41">
        <v>0.94</v>
      </c>
      <c r="H53" s="230"/>
    </row>
    <row r="54" spans="1:8" s="31" customFormat="1" x14ac:dyDescent="0.2">
      <c r="A54" s="34" t="s">
        <v>134</v>
      </c>
      <c r="B54" s="39" t="s">
        <v>122</v>
      </c>
      <c r="C54" s="40" t="s">
        <v>126</v>
      </c>
      <c r="D54" s="35" t="s">
        <v>127</v>
      </c>
      <c r="E54" s="41">
        <v>0.06</v>
      </c>
      <c r="H54" s="230"/>
    </row>
    <row r="55" spans="1:8" s="31" customFormat="1" x14ac:dyDescent="0.2">
      <c r="A55" s="34" t="s">
        <v>134</v>
      </c>
      <c r="B55" s="39" t="s">
        <v>122</v>
      </c>
      <c r="C55" s="40" t="s">
        <v>126</v>
      </c>
      <c r="D55" s="35" t="s">
        <v>125</v>
      </c>
      <c r="E55" s="41">
        <v>0</v>
      </c>
      <c r="H55" s="230"/>
    </row>
    <row r="56" spans="1:8" s="31" customFormat="1" x14ac:dyDescent="0.2">
      <c r="A56" s="34" t="s">
        <v>134</v>
      </c>
      <c r="B56" s="39" t="s">
        <v>121</v>
      </c>
      <c r="C56" s="40" t="s">
        <v>132</v>
      </c>
      <c r="D56" s="35" t="s">
        <v>133</v>
      </c>
      <c r="E56" s="41">
        <v>0.94</v>
      </c>
      <c r="H56" s="230"/>
    </row>
    <row r="57" spans="1:8" s="31" customFormat="1" x14ac:dyDescent="0.2">
      <c r="A57" s="34" t="s">
        <v>134</v>
      </c>
      <c r="B57" s="39" t="s">
        <v>121</v>
      </c>
      <c r="C57" s="40" t="s">
        <v>132</v>
      </c>
      <c r="D57" s="35" t="s">
        <v>127</v>
      </c>
      <c r="E57" s="41">
        <v>0.06</v>
      </c>
      <c r="H57" s="230"/>
    </row>
    <row r="58" spans="1:8" s="31" customFormat="1" x14ac:dyDescent="0.2">
      <c r="A58" s="34" t="s">
        <v>134</v>
      </c>
      <c r="B58" s="39" t="s">
        <v>121</v>
      </c>
      <c r="C58" s="40" t="s">
        <v>132</v>
      </c>
      <c r="D58" s="35" t="s">
        <v>125</v>
      </c>
      <c r="E58" s="41">
        <v>0</v>
      </c>
      <c r="H58" s="230"/>
    </row>
    <row r="59" spans="1:8" s="31" customFormat="1" x14ac:dyDescent="0.2">
      <c r="A59" s="34" t="s">
        <v>134</v>
      </c>
      <c r="B59" s="39" t="s">
        <v>121</v>
      </c>
      <c r="C59" s="40" t="s">
        <v>131</v>
      </c>
      <c r="D59" s="35" t="s">
        <v>133</v>
      </c>
      <c r="E59" s="41">
        <v>0.94</v>
      </c>
      <c r="H59" s="230"/>
    </row>
    <row r="60" spans="1:8" s="31" customFormat="1" x14ac:dyDescent="0.2">
      <c r="A60" s="34" t="s">
        <v>134</v>
      </c>
      <c r="B60" s="39" t="s">
        <v>121</v>
      </c>
      <c r="C60" s="40" t="s">
        <v>131</v>
      </c>
      <c r="D60" s="35" t="s">
        <v>127</v>
      </c>
      <c r="E60" s="41">
        <v>0.06</v>
      </c>
      <c r="H60" s="230"/>
    </row>
    <row r="61" spans="1:8" s="31" customFormat="1" x14ac:dyDescent="0.2">
      <c r="A61" s="34" t="s">
        <v>134</v>
      </c>
      <c r="B61" s="39" t="s">
        <v>121</v>
      </c>
      <c r="C61" s="40" t="s">
        <v>131</v>
      </c>
      <c r="D61" s="35" t="s">
        <v>125</v>
      </c>
      <c r="E61" s="41">
        <v>0</v>
      </c>
      <c r="H61" s="230"/>
    </row>
    <row r="62" spans="1:8" s="31" customFormat="1" x14ac:dyDescent="0.2">
      <c r="A62" s="34" t="s">
        <v>134</v>
      </c>
      <c r="B62" s="39" t="s">
        <v>121</v>
      </c>
      <c r="C62" s="40" t="s">
        <v>130</v>
      </c>
      <c r="D62" s="35" t="s">
        <v>133</v>
      </c>
      <c r="E62" s="41">
        <v>0.94</v>
      </c>
      <c r="H62" s="230"/>
    </row>
    <row r="63" spans="1:8" s="31" customFormat="1" x14ac:dyDescent="0.2">
      <c r="A63" s="34" t="s">
        <v>134</v>
      </c>
      <c r="B63" s="39" t="s">
        <v>121</v>
      </c>
      <c r="C63" s="40" t="s">
        <v>130</v>
      </c>
      <c r="D63" s="35" t="s">
        <v>127</v>
      </c>
      <c r="E63" s="41">
        <v>0.06</v>
      </c>
      <c r="H63" s="230"/>
    </row>
    <row r="64" spans="1:8" s="31" customFormat="1" x14ac:dyDescent="0.2">
      <c r="A64" s="34" t="s">
        <v>134</v>
      </c>
      <c r="B64" s="39" t="s">
        <v>121</v>
      </c>
      <c r="C64" s="40" t="s">
        <v>130</v>
      </c>
      <c r="D64" s="35" t="s">
        <v>125</v>
      </c>
      <c r="E64" s="41">
        <v>0</v>
      </c>
      <c r="H64" s="230"/>
    </row>
    <row r="65" spans="1:8" s="31" customFormat="1" x14ac:dyDescent="0.2">
      <c r="A65" s="34" t="s">
        <v>134</v>
      </c>
      <c r="B65" s="39" t="s">
        <v>121</v>
      </c>
      <c r="C65" s="40" t="s">
        <v>129</v>
      </c>
      <c r="D65" s="35" t="s">
        <v>133</v>
      </c>
      <c r="E65" s="41">
        <v>0.94</v>
      </c>
      <c r="H65" s="230"/>
    </row>
    <row r="66" spans="1:8" s="31" customFormat="1" x14ac:dyDescent="0.2">
      <c r="A66" s="34" t="s">
        <v>134</v>
      </c>
      <c r="B66" s="39" t="s">
        <v>121</v>
      </c>
      <c r="C66" s="40" t="s">
        <v>129</v>
      </c>
      <c r="D66" s="35" t="s">
        <v>127</v>
      </c>
      <c r="E66" s="41">
        <v>0.06</v>
      </c>
      <c r="H66" s="230"/>
    </row>
    <row r="67" spans="1:8" s="31" customFormat="1" x14ac:dyDescent="0.2">
      <c r="A67" s="34" t="s">
        <v>134</v>
      </c>
      <c r="B67" s="39" t="s">
        <v>121</v>
      </c>
      <c r="C67" s="40" t="s">
        <v>129</v>
      </c>
      <c r="D67" s="35" t="s">
        <v>125</v>
      </c>
      <c r="E67" s="41">
        <v>0</v>
      </c>
      <c r="H67" s="230"/>
    </row>
    <row r="68" spans="1:8" s="31" customFormat="1" x14ac:dyDescent="0.2">
      <c r="A68" s="34" t="s">
        <v>134</v>
      </c>
      <c r="B68" s="39" t="s">
        <v>121</v>
      </c>
      <c r="C68" s="40" t="s">
        <v>128</v>
      </c>
      <c r="D68" s="35" t="s">
        <v>133</v>
      </c>
      <c r="E68" s="41">
        <v>0.94</v>
      </c>
      <c r="H68" s="230"/>
    </row>
    <row r="69" spans="1:8" s="31" customFormat="1" x14ac:dyDescent="0.2">
      <c r="A69" s="34" t="s">
        <v>134</v>
      </c>
      <c r="B69" s="39" t="s">
        <v>121</v>
      </c>
      <c r="C69" s="40" t="s">
        <v>128</v>
      </c>
      <c r="D69" s="35" t="s">
        <v>127</v>
      </c>
      <c r="E69" s="41">
        <v>0.06</v>
      </c>
      <c r="H69" s="230"/>
    </row>
    <row r="70" spans="1:8" s="31" customFormat="1" x14ac:dyDescent="0.2">
      <c r="A70" s="34" t="s">
        <v>134</v>
      </c>
      <c r="B70" s="39" t="s">
        <v>121</v>
      </c>
      <c r="C70" s="40" t="s">
        <v>128</v>
      </c>
      <c r="D70" s="35" t="s">
        <v>125</v>
      </c>
      <c r="E70" s="41">
        <v>0</v>
      </c>
      <c r="H70" s="230"/>
    </row>
    <row r="71" spans="1:8" s="31" customFormat="1" x14ac:dyDescent="0.2">
      <c r="A71" s="34" t="s">
        <v>134</v>
      </c>
      <c r="B71" s="39" t="s">
        <v>121</v>
      </c>
      <c r="C71" s="40" t="s">
        <v>126</v>
      </c>
      <c r="D71" s="35" t="s">
        <v>133</v>
      </c>
      <c r="E71" s="41">
        <v>0.94</v>
      </c>
      <c r="H71" s="230"/>
    </row>
    <row r="72" spans="1:8" s="31" customFormat="1" x14ac:dyDescent="0.2">
      <c r="A72" s="34" t="s">
        <v>134</v>
      </c>
      <c r="B72" s="39" t="s">
        <v>121</v>
      </c>
      <c r="C72" s="40" t="s">
        <v>126</v>
      </c>
      <c r="D72" s="35" t="s">
        <v>127</v>
      </c>
      <c r="E72" s="41">
        <v>0.06</v>
      </c>
      <c r="H72" s="230"/>
    </row>
    <row r="73" spans="1:8" s="31" customFormat="1" x14ac:dyDescent="0.2">
      <c r="A73" s="34" t="s">
        <v>134</v>
      </c>
      <c r="B73" s="39" t="s">
        <v>121</v>
      </c>
      <c r="C73" s="40" t="s">
        <v>126</v>
      </c>
      <c r="D73" s="35" t="s">
        <v>125</v>
      </c>
      <c r="E73" s="41">
        <v>0</v>
      </c>
      <c r="H73" s="230"/>
    </row>
    <row r="74" spans="1:8" s="31" customFormat="1" x14ac:dyDescent="0.2">
      <c r="A74" s="34" t="s">
        <v>134</v>
      </c>
      <c r="B74" s="39" t="s">
        <v>119</v>
      </c>
      <c r="C74" s="40" t="s">
        <v>132</v>
      </c>
      <c r="D74" s="35" t="s">
        <v>133</v>
      </c>
      <c r="E74" s="41">
        <v>0.94</v>
      </c>
      <c r="H74" s="230"/>
    </row>
    <row r="75" spans="1:8" s="31" customFormat="1" x14ac:dyDescent="0.2">
      <c r="A75" s="34" t="s">
        <v>134</v>
      </c>
      <c r="B75" s="39" t="s">
        <v>119</v>
      </c>
      <c r="C75" s="40" t="s">
        <v>132</v>
      </c>
      <c r="D75" s="35" t="s">
        <v>127</v>
      </c>
      <c r="E75" s="41">
        <v>0.06</v>
      </c>
      <c r="H75" s="230"/>
    </row>
    <row r="76" spans="1:8" s="31" customFormat="1" x14ac:dyDescent="0.2">
      <c r="A76" s="34" t="s">
        <v>134</v>
      </c>
      <c r="B76" s="39" t="s">
        <v>119</v>
      </c>
      <c r="C76" s="40" t="s">
        <v>132</v>
      </c>
      <c r="D76" s="35" t="s">
        <v>125</v>
      </c>
      <c r="E76" s="41">
        <v>0</v>
      </c>
      <c r="H76" s="230"/>
    </row>
    <row r="77" spans="1:8" s="31" customFormat="1" x14ac:dyDescent="0.2">
      <c r="A77" s="34" t="s">
        <v>134</v>
      </c>
      <c r="B77" s="39" t="s">
        <v>119</v>
      </c>
      <c r="C77" s="40" t="s">
        <v>131</v>
      </c>
      <c r="D77" s="35" t="s">
        <v>133</v>
      </c>
      <c r="E77" s="41">
        <v>0.94</v>
      </c>
      <c r="H77" s="230"/>
    </row>
    <row r="78" spans="1:8" s="31" customFormat="1" x14ac:dyDescent="0.2">
      <c r="A78" s="34" t="s">
        <v>134</v>
      </c>
      <c r="B78" s="39" t="s">
        <v>119</v>
      </c>
      <c r="C78" s="40" t="s">
        <v>131</v>
      </c>
      <c r="D78" s="35" t="s">
        <v>127</v>
      </c>
      <c r="E78" s="41">
        <v>0.06</v>
      </c>
      <c r="H78" s="230"/>
    </row>
    <row r="79" spans="1:8" s="31" customFormat="1" x14ac:dyDescent="0.2">
      <c r="A79" s="34" t="s">
        <v>134</v>
      </c>
      <c r="B79" s="39" t="s">
        <v>119</v>
      </c>
      <c r="C79" s="40" t="s">
        <v>131</v>
      </c>
      <c r="D79" s="35" t="s">
        <v>125</v>
      </c>
      <c r="E79" s="41">
        <v>0</v>
      </c>
      <c r="H79" s="230"/>
    </row>
    <row r="80" spans="1:8" s="31" customFormat="1" x14ac:dyDescent="0.2">
      <c r="A80" s="34" t="s">
        <v>134</v>
      </c>
      <c r="B80" s="39" t="s">
        <v>119</v>
      </c>
      <c r="C80" s="40" t="s">
        <v>130</v>
      </c>
      <c r="D80" s="35" t="s">
        <v>133</v>
      </c>
      <c r="E80" s="41">
        <v>0.94</v>
      </c>
      <c r="H80" s="230"/>
    </row>
    <row r="81" spans="1:8" s="31" customFormat="1" x14ac:dyDescent="0.2">
      <c r="A81" s="34" t="s">
        <v>134</v>
      </c>
      <c r="B81" s="39" t="s">
        <v>119</v>
      </c>
      <c r="C81" s="40" t="s">
        <v>130</v>
      </c>
      <c r="D81" s="35" t="s">
        <v>127</v>
      </c>
      <c r="E81" s="41">
        <v>0.06</v>
      </c>
      <c r="H81" s="230"/>
    </row>
    <row r="82" spans="1:8" s="31" customFormat="1" x14ac:dyDescent="0.2">
      <c r="A82" s="34" t="s">
        <v>134</v>
      </c>
      <c r="B82" s="39" t="s">
        <v>119</v>
      </c>
      <c r="C82" s="40" t="s">
        <v>130</v>
      </c>
      <c r="D82" s="35" t="s">
        <v>125</v>
      </c>
      <c r="E82" s="41">
        <v>0</v>
      </c>
      <c r="H82" s="230"/>
    </row>
    <row r="83" spans="1:8" s="31" customFormat="1" x14ac:dyDescent="0.2">
      <c r="A83" s="34" t="s">
        <v>134</v>
      </c>
      <c r="B83" s="39" t="s">
        <v>119</v>
      </c>
      <c r="C83" s="40" t="s">
        <v>129</v>
      </c>
      <c r="D83" s="35" t="s">
        <v>133</v>
      </c>
      <c r="E83" s="41">
        <v>0.94</v>
      </c>
      <c r="H83" s="230"/>
    </row>
    <row r="84" spans="1:8" s="31" customFormat="1" x14ac:dyDescent="0.2">
      <c r="A84" s="34" t="s">
        <v>134</v>
      </c>
      <c r="B84" s="39" t="s">
        <v>119</v>
      </c>
      <c r="C84" s="40" t="s">
        <v>129</v>
      </c>
      <c r="D84" s="35" t="s">
        <v>127</v>
      </c>
      <c r="E84" s="41">
        <v>0.06</v>
      </c>
      <c r="H84" s="230"/>
    </row>
    <row r="85" spans="1:8" s="31" customFormat="1" x14ac:dyDescent="0.2">
      <c r="A85" s="34" t="s">
        <v>134</v>
      </c>
      <c r="B85" s="39" t="s">
        <v>119</v>
      </c>
      <c r="C85" s="40" t="s">
        <v>129</v>
      </c>
      <c r="D85" s="35" t="s">
        <v>125</v>
      </c>
      <c r="E85" s="41">
        <v>0</v>
      </c>
      <c r="H85" s="230"/>
    </row>
    <row r="86" spans="1:8" s="31" customFormat="1" x14ac:dyDescent="0.2">
      <c r="A86" s="34" t="s">
        <v>134</v>
      </c>
      <c r="B86" s="39" t="s">
        <v>119</v>
      </c>
      <c r="C86" s="40" t="s">
        <v>128</v>
      </c>
      <c r="D86" s="35" t="s">
        <v>133</v>
      </c>
      <c r="E86" s="41">
        <v>0.94</v>
      </c>
      <c r="H86" s="230"/>
    </row>
    <row r="87" spans="1:8" s="31" customFormat="1" x14ac:dyDescent="0.2">
      <c r="A87" s="34" t="s">
        <v>134</v>
      </c>
      <c r="B87" s="39" t="s">
        <v>119</v>
      </c>
      <c r="C87" s="40" t="s">
        <v>128</v>
      </c>
      <c r="D87" s="35" t="s">
        <v>127</v>
      </c>
      <c r="E87" s="41">
        <v>0.06</v>
      </c>
      <c r="H87" s="230"/>
    </row>
    <row r="88" spans="1:8" s="31" customFormat="1" x14ac:dyDescent="0.2">
      <c r="A88" s="34" t="s">
        <v>134</v>
      </c>
      <c r="B88" s="39" t="s">
        <v>119</v>
      </c>
      <c r="C88" s="40" t="s">
        <v>128</v>
      </c>
      <c r="D88" s="35" t="s">
        <v>125</v>
      </c>
      <c r="E88" s="41">
        <v>0</v>
      </c>
      <c r="H88" s="230"/>
    </row>
    <row r="89" spans="1:8" s="31" customFormat="1" x14ac:dyDescent="0.2">
      <c r="A89" s="34" t="s">
        <v>134</v>
      </c>
      <c r="B89" s="39" t="s">
        <v>119</v>
      </c>
      <c r="C89" s="40" t="s">
        <v>126</v>
      </c>
      <c r="D89" s="35" t="s">
        <v>133</v>
      </c>
      <c r="E89" s="41">
        <v>0.94</v>
      </c>
      <c r="H89" s="230"/>
    </row>
    <row r="90" spans="1:8" s="31" customFormat="1" x14ac:dyDescent="0.2">
      <c r="A90" s="34" t="s">
        <v>134</v>
      </c>
      <c r="B90" s="39" t="s">
        <v>119</v>
      </c>
      <c r="C90" s="40" t="s">
        <v>126</v>
      </c>
      <c r="D90" s="35" t="s">
        <v>127</v>
      </c>
      <c r="E90" s="41">
        <v>0.06</v>
      </c>
      <c r="H90" s="230"/>
    </row>
    <row r="91" spans="1:8" s="31" customFormat="1" x14ac:dyDescent="0.2">
      <c r="A91" s="34" t="s">
        <v>134</v>
      </c>
      <c r="B91" s="39" t="s">
        <v>119</v>
      </c>
      <c r="C91" s="40" t="s">
        <v>126</v>
      </c>
      <c r="D91" s="35" t="s">
        <v>125</v>
      </c>
      <c r="E91" s="41">
        <v>0</v>
      </c>
      <c r="H91" s="230"/>
    </row>
    <row r="92" spans="1:8" s="23" customFormat="1" x14ac:dyDescent="0.2">
      <c r="A92" s="21" t="s">
        <v>142</v>
      </c>
      <c r="B92" s="24" t="s">
        <v>124</v>
      </c>
      <c r="C92" s="25" t="s">
        <v>118</v>
      </c>
      <c r="D92" s="22" t="s">
        <v>140</v>
      </c>
      <c r="E92" s="26">
        <v>0.9</v>
      </c>
      <c r="H92" s="231" t="s">
        <v>287</v>
      </c>
    </row>
    <row r="93" spans="1:8" s="23" customFormat="1" x14ac:dyDescent="0.2">
      <c r="A93" s="21" t="s">
        <v>142</v>
      </c>
      <c r="B93" s="24" t="s">
        <v>124</v>
      </c>
      <c r="C93" s="25" t="s">
        <v>118</v>
      </c>
      <c r="D93" s="22" t="s">
        <v>139</v>
      </c>
      <c r="E93" s="26">
        <v>0</v>
      </c>
      <c r="H93" s="231"/>
    </row>
    <row r="94" spans="1:8" s="23" customFormat="1" x14ac:dyDescent="0.2">
      <c r="A94" s="21" t="s">
        <v>142</v>
      </c>
      <c r="B94" s="24" t="s">
        <v>124</v>
      </c>
      <c r="C94" s="25" t="s">
        <v>118</v>
      </c>
      <c r="D94" s="22" t="s">
        <v>141</v>
      </c>
      <c r="E94" s="26">
        <v>0.1</v>
      </c>
      <c r="H94" s="231"/>
    </row>
    <row r="95" spans="1:8" s="23" customFormat="1" x14ac:dyDescent="0.2">
      <c r="A95" s="21" t="s">
        <v>142</v>
      </c>
      <c r="B95" s="24" t="s">
        <v>124</v>
      </c>
      <c r="C95" s="25" t="s">
        <v>118</v>
      </c>
      <c r="D95" s="22" t="s">
        <v>125</v>
      </c>
      <c r="E95" s="26">
        <v>0</v>
      </c>
      <c r="H95" s="231"/>
    </row>
    <row r="96" spans="1:8" s="23" customFormat="1" x14ac:dyDescent="0.2">
      <c r="A96" s="21" t="s">
        <v>142</v>
      </c>
      <c r="B96" s="24" t="s">
        <v>123</v>
      </c>
      <c r="C96" s="25" t="s">
        <v>118</v>
      </c>
      <c r="D96" s="22" t="s">
        <v>140</v>
      </c>
      <c r="E96" s="26">
        <v>0.9</v>
      </c>
      <c r="H96" s="231"/>
    </row>
    <row r="97" spans="1:8" s="23" customFormat="1" x14ac:dyDescent="0.2">
      <c r="A97" s="21" t="s">
        <v>142</v>
      </c>
      <c r="B97" s="24" t="s">
        <v>123</v>
      </c>
      <c r="C97" s="25" t="s">
        <v>118</v>
      </c>
      <c r="D97" s="22" t="s">
        <v>139</v>
      </c>
      <c r="E97" s="26">
        <v>0</v>
      </c>
      <c r="H97" s="231"/>
    </row>
    <row r="98" spans="1:8" s="23" customFormat="1" x14ac:dyDescent="0.2">
      <c r="A98" s="21" t="s">
        <v>142</v>
      </c>
      <c r="B98" s="24" t="s">
        <v>123</v>
      </c>
      <c r="C98" s="25" t="s">
        <v>118</v>
      </c>
      <c r="D98" s="22" t="s">
        <v>141</v>
      </c>
      <c r="E98" s="26">
        <v>0.1</v>
      </c>
      <c r="H98" s="231"/>
    </row>
    <row r="99" spans="1:8" s="23" customFormat="1" x14ac:dyDescent="0.2">
      <c r="A99" s="21" t="s">
        <v>142</v>
      </c>
      <c r="B99" s="24" t="s">
        <v>123</v>
      </c>
      <c r="C99" s="25" t="s">
        <v>118</v>
      </c>
      <c r="D99" s="22" t="s">
        <v>125</v>
      </c>
      <c r="E99" s="26">
        <v>0</v>
      </c>
      <c r="H99" s="231"/>
    </row>
    <row r="100" spans="1:8" s="23" customFormat="1" x14ac:dyDescent="0.2">
      <c r="A100" s="21" t="s">
        <v>142</v>
      </c>
      <c r="B100" s="24" t="s">
        <v>122</v>
      </c>
      <c r="C100" s="25" t="s">
        <v>118</v>
      </c>
      <c r="D100" s="22" t="s">
        <v>140</v>
      </c>
      <c r="E100" s="26">
        <v>0.9</v>
      </c>
      <c r="H100" s="231"/>
    </row>
    <row r="101" spans="1:8" s="23" customFormat="1" x14ac:dyDescent="0.2">
      <c r="A101" s="21" t="s">
        <v>142</v>
      </c>
      <c r="B101" s="24" t="s">
        <v>122</v>
      </c>
      <c r="C101" s="25" t="s">
        <v>118</v>
      </c>
      <c r="D101" s="22" t="s">
        <v>139</v>
      </c>
      <c r="E101" s="26">
        <v>0</v>
      </c>
      <c r="H101" s="231"/>
    </row>
    <row r="102" spans="1:8" s="23" customFormat="1" x14ac:dyDescent="0.2">
      <c r="A102" s="21" t="s">
        <v>142</v>
      </c>
      <c r="B102" s="24" t="s">
        <v>122</v>
      </c>
      <c r="C102" s="25" t="s">
        <v>118</v>
      </c>
      <c r="D102" s="22" t="s">
        <v>141</v>
      </c>
      <c r="E102" s="26">
        <v>0.1</v>
      </c>
      <c r="H102" s="231"/>
    </row>
    <row r="103" spans="1:8" s="23" customFormat="1" x14ac:dyDescent="0.2">
      <c r="A103" s="21" t="s">
        <v>142</v>
      </c>
      <c r="B103" s="24" t="s">
        <v>122</v>
      </c>
      <c r="C103" s="25" t="s">
        <v>118</v>
      </c>
      <c r="D103" s="22" t="s">
        <v>125</v>
      </c>
      <c r="E103" s="26">
        <v>0</v>
      </c>
      <c r="H103" s="231"/>
    </row>
    <row r="104" spans="1:8" s="23" customFormat="1" x14ac:dyDescent="0.2">
      <c r="A104" s="21" t="s">
        <v>142</v>
      </c>
      <c r="B104" s="24" t="s">
        <v>121</v>
      </c>
      <c r="C104" s="25" t="s">
        <v>118</v>
      </c>
      <c r="D104" s="22" t="s">
        <v>140</v>
      </c>
      <c r="E104" s="26">
        <v>0.15</v>
      </c>
      <c r="H104" s="231"/>
    </row>
    <row r="105" spans="1:8" s="23" customFormat="1" x14ac:dyDescent="0.2">
      <c r="A105" s="21" t="s">
        <v>142</v>
      </c>
      <c r="B105" s="24" t="s">
        <v>121</v>
      </c>
      <c r="C105" s="25" t="s">
        <v>118</v>
      </c>
      <c r="D105" s="22" t="s">
        <v>139</v>
      </c>
      <c r="E105" s="26">
        <v>0</v>
      </c>
      <c r="H105" s="231"/>
    </row>
    <row r="106" spans="1:8" s="23" customFormat="1" x14ac:dyDescent="0.2">
      <c r="A106" s="21" t="s">
        <v>142</v>
      </c>
      <c r="B106" s="24" t="s">
        <v>121</v>
      </c>
      <c r="C106" s="25" t="s">
        <v>118</v>
      </c>
      <c r="D106" s="22" t="s">
        <v>141</v>
      </c>
      <c r="E106" s="26">
        <v>0.85</v>
      </c>
      <c r="H106" s="231"/>
    </row>
    <row r="107" spans="1:8" s="23" customFormat="1" x14ac:dyDescent="0.2">
      <c r="A107" s="21" t="s">
        <v>142</v>
      </c>
      <c r="B107" s="24" t="s">
        <v>121</v>
      </c>
      <c r="C107" s="25" t="s">
        <v>118</v>
      </c>
      <c r="D107" s="22" t="s">
        <v>125</v>
      </c>
      <c r="E107" s="26">
        <v>0</v>
      </c>
      <c r="H107" s="231"/>
    </row>
    <row r="108" spans="1:8" s="23" customFormat="1" x14ac:dyDescent="0.2">
      <c r="A108" s="21" t="s">
        <v>142</v>
      </c>
      <c r="B108" s="24" t="s">
        <v>119</v>
      </c>
      <c r="C108" s="25" t="s">
        <v>118</v>
      </c>
      <c r="D108" s="22" t="s">
        <v>140</v>
      </c>
      <c r="E108" s="26">
        <v>0</v>
      </c>
      <c r="H108" s="231"/>
    </row>
    <row r="109" spans="1:8" s="23" customFormat="1" x14ac:dyDescent="0.2">
      <c r="A109" s="21" t="s">
        <v>142</v>
      </c>
      <c r="B109" s="24" t="s">
        <v>119</v>
      </c>
      <c r="C109" s="25" t="s">
        <v>118</v>
      </c>
      <c r="D109" s="22" t="s">
        <v>139</v>
      </c>
      <c r="E109" s="26">
        <v>0</v>
      </c>
      <c r="H109" s="231"/>
    </row>
    <row r="110" spans="1:8" s="23" customFormat="1" x14ac:dyDescent="0.2">
      <c r="A110" s="21" t="s">
        <v>142</v>
      </c>
      <c r="B110" s="24" t="s">
        <v>119</v>
      </c>
      <c r="C110" s="25" t="s">
        <v>118</v>
      </c>
      <c r="D110" s="22" t="s">
        <v>141</v>
      </c>
      <c r="E110" s="26">
        <v>1</v>
      </c>
      <c r="H110" s="231"/>
    </row>
    <row r="111" spans="1:8" s="23" customFormat="1" x14ac:dyDescent="0.2">
      <c r="A111" s="21" t="s">
        <v>142</v>
      </c>
      <c r="B111" s="24" t="s">
        <v>119</v>
      </c>
      <c r="C111" s="25" t="s">
        <v>118</v>
      </c>
      <c r="D111" s="22" t="s">
        <v>125</v>
      </c>
      <c r="E111" s="26">
        <v>0</v>
      </c>
      <c r="H111" s="231"/>
    </row>
    <row r="112" spans="1:8" s="14" customFormat="1" x14ac:dyDescent="0.2">
      <c r="A112" s="18" t="s">
        <v>135</v>
      </c>
      <c r="B112" s="19" t="s">
        <v>124</v>
      </c>
      <c r="C112" s="20" t="s">
        <v>118</v>
      </c>
      <c r="D112" s="16" t="s">
        <v>140</v>
      </c>
      <c r="E112" s="15">
        <v>0.7</v>
      </c>
      <c r="H112" s="232" t="s">
        <v>299</v>
      </c>
    </row>
    <row r="113" spans="1:8" s="14" customFormat="1" x14ac:dyDescent="0.2">
      <c r="A113" s="18" t="s">
        <v>135</v>
      </c>
      <c r="B113" s="19" t="s">
        <v>124</v>
      </c>
      <c r="C113" s="20" t="s">
        <v>118</v>
      </c>
      <c r="D113" s="16" t="s">
        <v>139</v>
      </c>
      <c r="E113" s="15">
        <v>0</v>
      </c>
      <c r="H113" s="232"/>
    </row>
    <row r="114" spans="1:8" s="14" customFormat="1" x14ac:dyDescent="0.2">
      <c r="A114" s="18" t="s">
        <v>135</v>
      </c>
      <c r="B114" s="19" t="s">
        <v>124</v>
      </c>
      <c r="C114" s="20" t="s">
        <v>118</v>
      </c>
      <c r="D114" s="16" t="s">
        <v>138</v>
      </c>
      <c r="E114" s="15">
        <v>0</v>
      </c>
      <c r="H114" s="232"/>
    </row>
    <row r="115" spans="1:8" s="14" customFormat="1" x14ac:dyDescent="0.2">
      <c r="A115" s="18" t="s">
        <v>135</v>
      </c>
      <c r="B115" s="19" t="s">
        <v>124</v>
      </c>
      <c r="C115" s="20" t="s">
        <v>118</v>
      </c>
      <c r="D115" s="16" t="s">
        <v>137</v>
      </c>
      <c r="E115" s="15">
        <v>0.3</v>
      </c>
      <c r="H115" s="232"/>
    </row>
    <row r="116" spans="1:8" s="14" customFormat="1" x14ac:dyDescent="0.2">
      <c r="A116" s="18" t="s">
        <v>135</v>
      </c>
      <c r="B116" s="19" t="s">
        <v>124</v>
      </c>
      <c r="C116" s="20" t="s">
        <v>118</v>
      </c>
      <c r="D116" s="16" t="s">
        <v>136</v>
      </c>
      <c r="E116" s="15">
        <v>0</v>
      </c>
      <c r="H116" s="232"/>
    </row>
    <row r="117" spans="1:8" s="14" customFormat="1" x14ac:dyDescent="0.2">
      <c r="A117" s="18" t="s">
        <v>135</v>
      </c>
      <c r="B117" s="19" t="s">
        <v>124</v>
      </c>
      <c r="C117" s="20" t="s">
        <v>118</v>
      </c>
      <c r="D117" s="16" t="s">
        <v>125</v>
      </c>
      <c r="E117" s="15">
        <v>0</v>
      </c>
      <c r="H117" s="232"/>
    </row>
    <row r="118" spans="1:8" s="14" customFormat="1" x14ac:dyDescent="0.2">
      <c r="A118" s="18" t="s">
        <v>135</v>
      </c>
      <c r="B118" s="19" t="s">
        <v>123</v>
      </c>
      <c r="C118" s="20" t="s">
        <v>118</v>
      </c>
      <c r="D118" s="16" t="s">
        <v>140</v>
      </c>
      <c r="E118" s="15">
        <v>0.6</v>
      </c>
      <c r="H118" s="232"/>
    </row>
    <row r="119" spans="1:8" s="14" customFormat="1" x14ac:dyDescent="0.2">
      <c r="A119" s="18" t="s">
        <v>135</v>
      </c>
      <c r="B119" s="19" t="s">
        <v>123</v>
      </c>
      <c r="C119" s="20" t="s">
        <v>118</v>
      </c>
      <c r="D119" s="16" t="s">
        <v>139</v>
      </c>
      <c r="E119" s="15">
        <v>0</v>
      </c>
      <c r="H119" s="232"/>
    </row>
    <row r="120" spans="1:8" s="14" customFormat="1" x14ac:dyDescent="0.2">
      <c r="A120" s="18" t="s">
        <v>135</v>
      </c>
      <c r="B120" s="19" t="s">
        <v>123</v>
      </c>
      <c r="C120" s="20" t="s">
        <v>118</v>
      </c>
      <c r="D120" s="16" t="s">
        <v>138</v>
      </c>
      <c r="E120" s="15">
        <v>0</v>
      </c>
      <c r="H120" s="232"/>
    </row>
    <row r="121" spans="1:8" s="14" customFormat="1" x14ac:dyDescent="0.2">
      <c r="A121" s="18" t="s">
        <v>135</v>
      </c>
      <c r="B121" s="19" t="s">
        <v>123</v>
      </c>
      <c r="C121" s="20" t="s">
        <v>118</v>
      </c>
      <c r="D121" s="16" t="s">
        <v>137</v>
      </c>
      <c r="E121" s="15">
        <v>0.4</v>
      </c>
      <c r="H121" s="232"/>
    </row>
    <row r="122" spans="1:8" s="14" customFormat="1" x14ac:dyDescent="0.2">
      <c r="A122" s="18" t="s">
        <v>135</v>
      </c>
      <c r="B122" s="19" t="s">
        <v>123</v>
      </c>
      <c r="C122" s="20" t="s">
        <v>118</v>
      </c>
      <c r="D122" s="16" t="s">
        <v>136</v>
      </c>
      <c r="E122" s="15">
        <v>0</v>
      </c>
      <c r="H122" s="232"/>
    </row>
    <row r="123" spans="1:8" s="14" customFormat="1" x14ac:dyDescent="0.2">
      <c r="A123" s="18" t="s">
        <v>135</v>
      </c>
      <c r="B123" s="19" t="s">
        <v>123</v>
      </c>
      <c r="C123" s="20" t="s">
        <v>118</v>
      </c>
      <c r="D123" s="16" t="s">
        <v>125</v>
      </c>
      <c r="E123" s="15">
        <v>0</v>
      </c>
      <c r="H123" s="232"/>
    </row>
    <row r="124" spans="1:8" s="14" customFormat="1" x14ac:dyDescent="0.2">
      <c r="A124" s="18" t="s">
        <v>135</v>
      </c>
      <c r="B124" s="19" t="s">
        <v>122</v>
      </c>
      <c r="C124" s="20" t="s">
        <v>118</v>
      </c>
      <c r="D124" s="16" t="s">
        <v>140</v>
      </c>
      <c r="E124" s="15">
        <v>0.42</v>
      </c>
      <c r="H124" s="232"/>
    </row>
    <row r="125" spans="1:8" s="14" customFormat="1" x14ac:dyDescent="0.2">
      <c r="A125" s="18" t="s">
        <v>135</v>
      </c>
      <c r="B125" s="19" t="s">
        <v>122</v>
      </c>
      <c r="C125" s="20" t="s">
        <v>118</v>
      </c>
      <c r="D125" s="16" t="s">
        <v>139</v>
      </c>
      <c r="E125" s="15">
        <v>0</v>
      </c>
      <c r="H125" s="232"/>
    </row>
    <row r="126" spans="1:8" s="14" customFormat="1" x14ac:dyDescent="0.2">
      <c r="A126" s="18" t="s">
        <v>135</v>
      </c>
      <c r="B126" s="19" t="s">
        <v>122</v>
      </c>
      <c r="C126" s="20" t="s">
        <v>118</v>
      </c>
      <c r="D126" s="16" t="s">
        <v>138</v>
      </c>
      <c r="E126" s="15">
        <v>0</v>
      </c>
      <c r="H126" s="232"/>
    </row>
    <row r="127" spans="1:8" s="14" customFormat="1" x14ac:dyDescent="0.2">
      <c r="A127" s="18" t="s">
        <v>135</v>
      </c>
      <c r="B127" s="19" t="s">
        <v>122</v>
      </c>
      <c r="C127" s="20" t="s">
        <v>118</v>
      </c>
      <c r="D127" s="16" t="s">
        <v>137</v>
      </c>
      <c r="E127" s="15">
        <v>0.57999999999999996</v>
      </c>
      <c r="H127" s="232"/>
    </row>
    <row r="128" spans="1:8" s="14" customFormat="1" x14ac:dyDescent="0.2">
      <c r="A128" s="18" t="s">
        <v>135</v>
      </c>
      <c r="B128" s="19" t="s">
        <v>122</v>
      </c>
      <c r="C128" s="20" t="s">
        <v>118</v>
      </c>
      <c r="D128" s="16" t="s">
        <v>136</v>
      </c>
      <c r="E128" s="15">
        <v>0</v>
      </c>
      <c r="H128" s="232"/>
    </row>
    <row r="129" spans="1:8" s="14" customFormat="1" x14ac:dyDescent="0.2">
      <c r="A129" s="18" t="s">
        <v>135</v>
      </c>
      <c r="B129" s="19" t="s">
        <v>122</v>
      </c>
      <c r="C129" s="20" t="s">
        <v>118</v>
      </c>
      <c r="D129" s="16" t="s">
        <v>125</v>
      </c>
      <c r="E129" s="15">
        <v>0</v>
      </c>
      <c r="H129" s="232"/>
    </row>
    <row r="130" spans="1:8" s="14" customFormat="1" x14ac:dyDescent="0.2">
      <c r="A130" s="18" t="s">
        <v>135</v>
      </c>
      <c r="B130" s="19" t="s">
        <v>121</v>
      </c>
      <c r="C130" s="20" t="s">
        <v>118</v>
      </c>
      <c r="D130" s="16" t="s">
        <v>140</v>
      </c>
      <c r="E130" s="15">
        <v>0.05</v>
      </c>
      <c r="H130" s="232"/>
    </row>
    <row r="131" spans="1:8" s="14" customFormat="1" x14ac:dyDescent="0.2">
      <c r="A131" s="18" t="s">
        <v>135</v>
      </c>
      <c r="B131" s="19" t="s">
        <v>121</v>
      </c>
      <c r="C131" s="20" t="s">
        <v>118</v>
      </c>
      <c r="D131" s="16" t="s">
        <v>139</v>
      </c>
      <c r="E131" s="15">
        <v>0</v>
      </c>
      <c r="H131" s="232"/>
    </row>
    <row r="132" spans="1:8" s="14" customFormat="1" x14ac:dyDescent="0.2">
      <c r="A132" s="18" t="s">
        <v>135</v>
      </c>
      <c r="B132" s="19" t="s">
        <v>121</v>
      </c>
      <c r="C132" s="20" t="s">
        <v>118</v>
      </c>
      <c r="D132" s="16" t="s">
        <v>138</v>
      </c>
      <c r="E132" s="15">
        <v>0</v>
      </c>
      <c r="H132" s="232"/>
    </row>
    <row r="133" spans="1:8" s="14" customFormat="1" x14ac:dyDescent="0.2">
      <c r="A133" s="18" t="s">
        <v>135</v>
      </c>
      <c r="B133" s="19" t="s">
        <v>121</v>
      </c>
      <c r="C133" s="20" t="s">
        <v>118</v>
      </c>
      <c r="D133" s="16" t="s">
        <v>137</v>
      </c>
      <c r="E133" s="15">
        <v>0.95</v>
      </c>
      <c r="H133" s="232"/>
    </row>
    <row r="134" spans="1:8" s="14" customFormat="1" x14ac:dyDescent="0.2">
      <c r="A134" s="18" t="s">
        <v>135</v>
      </c>
      <c r="B134" s="19" t="s">
        <v>121</v>
      </c>
      <c r="C134" s="20" t="s">
        <v>118</v>
      </c>
      <c r="D134" s="16" t="s">
        <v>136</v>
      </c>
      <c r="E134" s="15">
        <v>0</v>
      </c>
      <c r="H134" s="232"/>
    </row>
    <row r="135" spans="1:8" s="14" customFormat="1" x14ac:dyDescent="0.2">
      <c r="A135" s="18" t="s">
        <v>135</v>
      </c>
      <c r="B135" s="19" t="s">
        <v>121</v>
      </c>
      <c r="C135" s="20" t="s">
        <v>118</v>
      </c>
      <c r="D135" s="16" t="s">
        <v>125</v>
      </c>
      <c r="E135" s="15">
        <v>0</v>
      </c>
      <c r="H135" s="232"/>
    </row>
    <row r="136" spans="1:8" s="14" customFormat="1" x14ac:dyDescent="0.2">
      <c r="A136" s="18" t="s">
        <v>135</v>
      </c>
      <c r="B136" s="19" t="s">
        <v>119</v>
      </c>
      <c r="C136" s="20" t="s">
        <v>118</v>
      </c>
      <c r="D136" s="16" t="s">
        <v>140</v>
      </c>
      <c r="E136" s="15">
        <v>0</v>
      </c>
      <c r="H136" s="232"/>
    </row>
    <row r="137" spans="1:8" s="14" customFormat="1" x14ac:dyDescent="0.2">
      <c r="A137" s="18" t="s">
        <v>135</v>
      </c>
      <c r="B137" s="19" t="s">
        <v>119</v>
      </c>
      <c r="C137" s="20" t="s">
        <v>118</v>
      </c>
      <c r="D137" s="16" t="s">
        <v>139</v>
      </c>
      <c r="E137" s="15">
        <v>0</v>
      </c>
      <c r="H137" s="232"/>
    </row>
    <row r="138" spans="1:8" s="14" customFormat="1" x14ac:dyDescent="0.2">
      <c r="A138" s="18" t="s">
        <v>135</v>
      </c>
      <c r="B138" s="19" t="s">
        <v>119</v>
      </c>
      <c r="C138" s="20" t="s">
        <v>118</v>
      </c>
      <c r="D138" s="16" t="s">
        <v>138</v>
      </c>
      <c r="E138" s="15">
        <v>0</v>
      </c>
      <c r="H138" s="232"/>
    </row>
    <row r="139" spans="1:8" s="14" customFormat="1" x14ac:dyDescent="0.2">
      <c r="A139" s="18" t="s">
        <v>135</v>
      </c>
      <c r="B139" s="19" t="s">
        <v>119</v>
      </c>
      <c r="C139" s="20" t="s">
        <v>118</v>
      </c>
      <c r="D139" s="16" t="s">
        <v>137</v>
      </c>
      <c r="E139" s="15">
        <v>0.05</v>
      </c>
      <c r="H139" s="232"/>
    </row>
    <row r="140" spans="1:8" s="14" customFormat="1" x14ac:dyDescent="0.2">
      <c r="A140" s="18" t="s">
        <v>135</v>
      </c>
      <c r="B140" s="19" t="s">
        <v>119</v>
      </c>
      <c r="C140" s="20" t="s">
        <v>118</v>
      </c>
      <c r="D140" s="16" t="s">
        <v>136</v>
      </c>
      <c r="E140" s="15">
        <v>0.95</v>
      </c>
      <c r="H140" s="232"/>
    </row>
    <row r="141" spans="1:8" s="14" customFormat="1" x14ac:dyDescent="0.2">
      <c r="A141" s="18" t="s">
        <v>135</v>
      </c>
      <c r="B141" s="19" t="s">
        <v>119</v>
      </c>
      <c r="C141" s="20" t="s">
        <v>118</v>
      </c>
      <c r="D141" s="16" t="s">
        <v>125</v>
      </c>
      <c r="E141" s="15">
        <v>0</v>
      </c>
      <c r="H141" s="232"/>
    </row>
    <row r="144" spans="1:8" x14ac:dyDescent="0.2">
      <c r="D144" s="12" t="s">
        <v>300</v>
      </c>
    </row>
  </sheetData>
  <mergeCells count="3">
    <mergeCell ref="H2:H91"/>
    <mergeCell ref="H92:H111"/>
    <mergeCell ref="H112:H14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EA44-4ED9-784C-8214-3AFAEB9994E2}">
  <dimension ref="A1:E18"/>
  <sheetViews>
    <sheetView zoomScale="134" workbookViewId="0">
      <selection activeCell="E21" sqref="E21"/>
    </sheetView>
  </sheetViews>
  <sheetFormatPr baseColWidth="10" defaultRowHeight="16" x14ac:dyDescent="0.2"/>
  <cols>
    <col min="5" max="5" width="46.33203125" customWidth="1"/>
  </cols>
  <sheetData>
    <row r="1" spans="1:5" s="12" customFormat="1" ht="17" thickBot="1" x14ac:dyDescent="0.25">
      <c r="A1" s="27" t="s">
        <v>147</v>
      </c>
      <c r="B1" s="27" t="s">
        <v>145</v>
      </c>
      <c r="C1" s="28" t="s">
        <v>156</v>
      </c>
      <c r="E1" s="73" t="s">
        <v>10</v>
      </c>
    </row>
    <row r="2" spans="1:5" x14ac:dyDescent="0.2">
      <c r="A2" s="32" t="s">
        <v>155</v>
      </c>
      <c r="B2" s="32" t="s">
        <v>132</v>
      </c>
      <c r="C2" s="33">
        <v>0.96499999999999997</v>
      </c>
      <c r="E2" s="233" t="s">
        <v>288</v>
      </c>
    </row>
    <row r="3" spans="1:5" x14ac:dyDescent="0.2">
      <c r="A3" s="34" t="s">
        <v>155</v>
      </c>
      <c r="B3" s="34" t="s">
        <v>131</v>
      </c>
      <c r="C3" s="35">
        <v>0.96499999999999997</v>
      </c>
      <c r="E3" s="233"/>
    </row>
    <row r="4" spans="1:5" x14ac:dyDescent="0.2">
      <c r="A4" s="34" t="s">
        <v>155</v>
      </c>
      <c r="B4" s="34" t="s">
        <v>130</v>
      </c>
      <c r="C4" s="35">
        <v>0.5</v>
      </c>
      <c r="E4" s="233"/>
    </row>
    <row r="5" spans="1:5" x14ac:dyDescent="0.2">
      <c r="A5" s="34" t="s">
        <v>155</v>
      </c>
      <c r="B5" s="34" t="s">
        <v>129</v>
      </c>
      <c r="C5" s="35">
        <v>0.1</v>
      </c>
      <c r="E5" s="233"/>
    </row>
    <row r="6" spans="1:5" x14ac:dyDescent="0.2">
      <c r="A6" s="21" t="s">
        <v>154</v>
      </c>
      <c r="B6" s="21" t="s">
        <v>132</v>
      </c>
      <c r="C6" s="22">
        <v>0.96499999999999997</v>
      </c>
      <c r="E6" s="233"/>
    </row>
    <row r="7" spans="1:5" x14ac:dyDescent="0.2">
      <c r="A7" s="21" t="s">
        <v>154</v>
      </c>
      <c r="B7" s="21" t="s">
        <v>131</v>
      </c>
      <c r="C7" s="22">
        <v>0.96499999999999997</v>
      </c>
      <c r="E7" s="233"/>
    </row>
    <row r="8" spans="1:5" x14ac:dyDescent="0.2">
      <c r="A8" s="21" t="s">
        <v>154</v>
      </c>
      <c r="B8" s="21" t="s">
        <v>130</v>
      </c>
      <c r="C8" s="22">
        <v>0.5</v>
      </c>
      <c r="E8" s="233"/>
    </row>
    <row r="9" spans="1:5" x14ac:dyDescent="0.2">
      <c r="A9" s="21" t="s">
        <v>154</v>
      </c>
      <c r="B9" s="21" t="s">
        <v>129</v>
      </c>
      <c r="C9" s="22">
        <v>0.1</v>
      </c>
      <c r="E9" s="233"/>
    </row>
    <row r="10" spans="1:5" x14ac:dyDescent="0.2">
      <c r="A10" s="18" t="s">
        <v>153</v>
      </c>
      <c r="B10" s="18" t="s">
        <v>132</v>
      </c>
      <c r="C10" s="16">
        <v>0.96499999999999997</v>
      </c>
      <c r="E10" s="233"/>
    </row>
    <row r="11" spans="1:5" x14ac:dyDescent="0.2">
      <c r="A11" s="18" t="s">
        <v>153</v>
      </c>
      <c r="B11" s="18" t="s">
        <v>131</v>
      </c>
      <c r="C11" s="16">
        <v>0.96499999999999997</v>
      </c>
      <c r="E11" s="233"/>
    </row>
    <row r="12" spans="1:5" x14ac:dyDescent="0.2">
      <c r="A12" s="18" t="s">
        <v>153</v>
      </c>
      <c r="B12" s="18" t="s">
        <v>130</v>
      </c>
      <c r="C12" s="16">
        <v>0.96499999999999997</v>
      </c>
      <c r="E12" s="233"/>
    </row>
    <row r="13" spans="1:5" x14ac:dyDescent="0.2">
      <c r="A13" s="18" t="s">
        <v>153</v>
      </c>
      <c r="B13" s="18" t="s">
        <v>129</v>
      </c>
      <c r="C13" s="16">
        <v>0.1</v>
      </c>
      <c r="E13" s="233"/>
    </row>
    <row r="18" spans="2:2" x14ac:dyDescent="0.2">
      <c r="B18" s="12" t="s">
        <v>298</v>
      </c>
    </row>
  </sheetData>
  <mergeCells count="1">
    <mergeCell ref="E2:E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9562-A1BA-FE44-8BA5-7FD978BCDCCE}">
  <dimension ref="A1:F9"/>
  <sheetViews>
    <sheetView zoomScale="125" workbookViewId="0">
      <selection activeCell="F14" sqref="F14"/>
    </sheetView>
  </sheetViews>
  <sheetFormatPr baseColWidth="10" defaultRowHeight="16" x14ac:dyDescent="0.2"/>
  <cols>
    <col min="1" max="1" width="23" bestFit="1" customWidth="1"/>
    <col min="6" max="6" width="112.6640625" bestFit="1" customWidth="1"/>
  </cols>
  <sheetData>
    <row r="1" spans="1:6" ht="17" thickBot="1" x14ac:dyDescent="0.25">
      <c r="A1" s="17" t="s">
        <v>147</v>
      </c>
      <c r="B1" s="6" t="s">
        <v>146</v>
      </c>
      <c r="C1" s="42" t="s">
        <v>145</v>
      </c>
      <c r="D1" s="6" t="s">
        <v>152</v>
      </c>
      <c r="F1" s="1" t="s">
        <v>159</v>
      </c>
    </row>
    <row r="2" spans="1:6" s="31" customFormat="1" x14ac:dyDescent="0.2">
      <c r="A2" s="32" t="s">
        <v>120</v>
      </c>
      <c r="B2" s="33" t="s">
        <v>122</v>
      </c>
      <c r="C2" s="43" t="s">
        <v>118</v>
      </c>
      <c r="D2" s="33">
        <v>0</v>
      </c>
      <c r="F2" s="135" t="s">
        <v>251</v>
      </c>
    </row>
    <row r="3" spans="1:6" s="31" customFormat="1" x14ac:dyDescent="0.2">
      <c r="A3" s="34" t="s">
        <v>120</v>
      </c>
      <c r="B3" s="35" t="s">
        <v>121</v>
      </c>
      <c r="C3" s="44" t="s">
        <v>118</v>
      </c>
      <c r="D3" s="35">
        <v>0.95</v>
      </c>
      <c r="F3" s="136" t="s">
        <v>252</v>
      </c>
    </row>
    <row r="4" spans="1:6" s="31" customFormat="1" x14ac:dyDescent="0.2">
      <c r="A4" s="34" t="s">
        <v>120</v>
      </c>
      <c r="B4" s="35" t="s">
        <v>119</v>
      </c>
      <c r="C4" s="44" t="s">
        <v>118</v>
      </c>
      <c r="D4" s="35">
        <v>0</v>
      </c>
      <c r="F4" s="136" t="s">
        <v>253</v>
      </c>
    </row>
    <row r="5" spans="1:6" s="23" customFormat="1" ht="34" x14ac:dyDescent="0.2">
      <c r="A5" s="21" t="s">
        <v>117</v>
      </c>
      <c r="B5" s="22" t="s">
        <v>119</v>
      </c>
      <c r="C5" s="45" t="s">
        <v>118</v>
      </c>
      <c r="D5" s="22">
        <v>0.8</v>
      </c>
      <c r="F5" s="46" t="s">
        <v>260</v>
      </c>
    </row>
    <row r="6" spans="1:6" x14ac:dyDescent="0.2">
      <c r="F6" s="5"/>
    </row>
    <row r="9" spans="1:6" x14ac:dyDescent="0.2">
      <c r="B9" s="1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2449-ECC5-8E4E-B073-CC1B32FCDD86}">
  <dimension ref="A2:U31"/>
  <sheetViews>
    <sheetView zoomScale="134" workbookViewId="0">
      <selection activeCell="I4" sqref="I4:K4"/>
    </sheetView>
  </sheetViews>
  <sheetFormatPr baseColWidth="10" defaultRowHeight="14" x14ac:dyDescent="0.2"/>
  <cols>
    <col min="1" max="1" width="4.1640625" style="10" customWidth="1"/>
    <col min="2" max="2" width="23.33203125" style="7" customWidth="1"/>
    <col min="3" max="5" width="14.33203125" style="7" customWidth="1"/>
    <col min="6" max="6" width="13.5" style="7" customWidth="1"/>
    <col min="7" max="7" width="10.83203125" style="137"/>
    <col min="8" max="8" width="14.33203125" style="7" customWidth="1"/>
    <col min="9" max="9" width="15.5" style="7" customWidth="1"/>
    <col min="10" max="16384" width="10.83203125" style="7"/>
  </cols>
  <sheetData>
    <row r="2" spans="1:21" ht="16" customHeight="1" x14ac:dyDescent="0.2">
      <c r="B2" s="254" t="s">
        <v>160</v>
      </c>
      <c r="C2" s="256" t="s">
        <v>8</v>
      </c>
      <c r="D2" s="257"/>
      <c r="E2" s="257"/>
      <c r="F2" s="258"/>
      <c r="G2" s="252" t="s">
        <v>9</v>
      </c>
      <c r="H2" s="254" t="s">
        <v>274</v>
      </c>
      <c r="I2" s="256" t="s">
        <v>10</v>
      </c>
      <c r="J2" s="257"/>
      <c r="K2" s="266"/>
    </row>
    <row r="3" spans="1:21" ht="17" customHeight="1" thickBot="1" x14ac:dyDescent="0.25">
      <c r="B3" s="255"/>
      <c r="C3" s="259"/>
      <c r="D3" s="260"/>
      <c r="E3" s="260"/>
      <c r="F3" s="261"/>
      <c r="G3" s="253"/>
      <c r="H3" s="255"/>
      <c r="I3" s="259"/>
      <c r="J3" s="260"/>
      <c r="K3" s="267"/>
    </row>
    <row r="4" spans="1:21" s="120" customFormat="1" ht="270" x14ac:dyDescent="0.2">
      <c r="A4" s="138"/>
      <c r="B4" s="140" t="s">
        <v>161</v>
      </c>
      <c r="C4" s="262" t="s">
        <v>316</v>
      </c>
      <c r="D4" s="263"/>
      <c r="E4" s="263"/>
      <c r="F4" s="264"/>
      <c r="G4" s="141" t="s">
        <v>281</v>
      </c>
      <c r="H4" s="142" t="s">
        <v>282</v>
      </c>
      <c r="I4" s="268" t="s">
        <v>311</v>
      </c>
      <c r="J4" s="269"/>
      <c r="K4" s="270"/>
    </row>
    <row r="5" spans="1:21" s="120" customFormat="1" ht="37" customHeight="1" x14ac:dyDescent="0.2">
      <c r="A5" s="138"/>
      <c r="B5" s="93" t="s">
        <v>162</v>
      </c>
      <c r="C5" s="237" t="s">
        <v>317</v>
      </c>
      <c r="D5" s="238"/>
      <c r="E5" s="238"/>
      <c r="F5" s="265"/>
      <c r="G5" s="143">
        <v>0.8</v>
      </c>
      <c r="H5" s="144"/>
      <c r="I5" s="234" t="s">
        <v>280</v>
      </c>
      <c r="J5" s="235"/>
      <c r="K5" s="236"/>
      <c r="L5" s="7"/>
      <c r="M5" s="7"/>
      <c r="N5" s="7"/>
    </row>
    <row r="6" spans="1:21" s="120" customFormat="1" ht="48" customHeight="1" x14ac:dyDescent="0.2">
      <c r="A6" s="138"/>
      <c r="B6" s="93" t="s">
        <v>163</v>
      </c>
      <c r="C6" s="237" t="s">
        <v>318</v>
      </c>
      <c r="D6" s="238"/>
      <c r="E6" s="238"/>
      <c r="F6" s="265"/>
      <c r="G6" s="143">
        <v>0.8</v>
      </c>
      <c r="H6" s="145"/>
      <c r="I6" s="234" t="s">
        <v>279</v>
      </c>
      <c r="J6" s="235"/>
      <c r="K6" s="236"/>
      <c r="L6" s="7"/>
      <c r="M6" s="7"/>
      <c r="N6" s="7"/>
    </row>
    <row r="7" spans="1:21" s="120" customFormat="1" ht="180" customHeight="1" x14ac:dyDescent="0.2">
      <c r="A7" s="138"/>
      <c r="B7" s="93" t="s">
        <v>313</v>
      </c>
      <c r="C7" s="237" t="s">
        <v>314</v>
      </c>
      <c r="D7" s="238"/>
      <c r="E7" s="238"/>
      <c r="F7" s="265"/>
      <c r="G7" s="143">
        <v>1</v>
      </c>
      <c r="H7" s="145"/>
      <c r="I7" s="234" t="s">
        <v>315</v>
      </c>
      <c r="J7" s="235"/>
      <c r="K7" s="236"/>
      <c r="L7" s="7"/>
      <c r="M7" s="7"/>
      <c r="N7" s="7"/>
    </row>
    <row r="8" spans="1:21" s="120" customFormat="1" ht="60" x14ac:dyDescent="0.2">
      <c r="A8" s="138"/>
      <c r="B8" s="93" t="s">
        <v>164</v>
      </c>
      <c r="C8" s="237" t="s">
        <v>276</v>
      </c>
      <c r="D8" s="238"/>
      <c r="E8" s="238"/>
      <c r="F8" s="265"/>
      <c r="G8" s="143">
        <v>1</v>
      </c>
      <c r="H8" s="144" t="s">
        <v>277</v>
      </c>
      <c r="I8" s="234"/>
      <c r="J8" s="235"/>
      <c r="K8" s="236"/>
      <c r="L8" s="7"/>
      <c r="M8" s="7"/>
      <c r="N8" s="7"/>
    </row>
    <row r="9" spans="1:21" s="120" customFormat="1" ht="90" customHeight="1" x14ac:dyDescent="0.2">
      <c r="A9" s="138"/>
      <c r="B9" s="93" t="s">
        <v>165</v>
      </c>
      <c r="C9" s="237" t="s">
        <v>166</v>
      </c>
      <c r="D9" s="238"/>
      <c r="E9" s="238"/>
      <c r="F9" s="265"/>
      <c r="G9" s="143">
        <v>0.95</v>
      </c>
      <c r="H9" s="144"/>
      <c r="I9" s="237" t="s">
        <v>275</v>
      </c>
      <c r="J9" s="238"/>
      <c r="K9" s="239"/>
      <c r="L9" s="7"/>
      <c r="M9" s="7"/>
      <c r="N9" s="7"/>
    </row>
    <row r="10" spans="1:21" s="120" customFormat="1" ht="36" customHeight="1" x14ac:dyDescent="0.2">
      <c r="A10" s="139"/>
      <c r="B10" s="93" t="s">
        <v>167</v>
      </c>
      <c r="C10" s="237" t="s">
        <v>170</v>
      </c>
      <c r="D10" s="238"/>
      <c r="E10" s="238"/>
      <c r="F10" s="265"/>
      <c r="G10" s="146">
        <v>0.9</v>
      </c>
      <c r="H10" s="144"/>
      <c r="I10" s="234" t="s">
        <v>278</v>
      </c>
      <c r="J10" s="235"/>
      <c r="K10" s="236"/>
      <c r="L10" s="7"/>
      <c r="M10" s="7"/>
      <c r="N10" s="7"/>
    </row>
    <row r="11" spans="1:21" s="120" customFormat="1" ht="30" customHeight="1" x14ac:dyDescent="0.2">
      <c r="A11" s="138"/>
      <c r="B11" s="93" t="s">
        <v>168</v>
      </c>
      <c r="C11" s="237" t="s">
        <v>169</v>
      </c>
      <c r="D11" s="238"/>
      <c r="E11" s="238"/>
      <c r="F11" s="265"/>
      <c r="G11" s="146">
        <v>0.9</v>
      </c>
      <c r="H11" s="145"/>
      <c r="I11" s="234" t="s">
        <v>278</v>
      </c>
      <c r="J11" s="235"/>
      <c r="K11" s="236"/>
      <c r="L11" s="7"/>
      <c r="M11" s="7"/>
      <c r="N11" s="7"/>
    </row>
    <row r="12" spans="1:21" ht="15" thickBot="1" x14ac:dyDescent="0.25"/>
    <row r="13" spans="1:21" x14ac:dyDescent="0.2">
      <c r="B13" s="147" t="s">
        <v>266</v>
      </c>
      <c r="C13" s="148"/>
      <c r="D13" s="148"/>
      <c r="E13" s="148"/>
      <c r="F13" s="148"/>
      <c r="G13" s="149"/>
      <c r="H13" s="148"/>
      <c r="I13" s="148"/>
      <c r="J13" s="148"/>
      <c r="K13" s="148"/>
      <c r="L13" s="148"/>
      <c r="M13" s="148"/>
      <c r="N13" s="148"/>
      <c r="O13" s="148"/>
      <c r="P13" s="148"/>
      <c r="Q13" s="148"/>
      <c r="R13" s="148"/>
      <c r="S13" s="148"/>
      <c r="T13" s="148"/>
      <c r="U13" s="150"/>
    </row>
    <row r="14" spans="1:21" ht="30" customHeight="1" x14ac:dyDescent="0.2">
      <c r="B14" s="246" t="s">
        <v>269</v>
      </c>
      <c r="C14" s="247"/>
      <c r="D14" s="247"/>
      <c r="E14" s="247"/>
      <c r="F14" s="247"/>
      <c r="G14" s="247"/>
      <c r="H14" s="247"/>
      <c r="I14" s="247"/>
      <c r="J14" s="247"/>
      <c r="K14" s="247"/>
      <c r="L14" s="247"/>
      <c r="M14" s="247"/>
      <c r="N14" s="247"/>
      <c r="O14" s="247"/>
      <c r="P14" s="247"/>
      <c r="Q14" s="247"/>
      <c r="R14" s="247"/>
      <c r="S14" s="247"/>
      <c r="T14" s="247"/>
      <c r="U14" s="248"/>
    </row>
    <row r="15" spans="1:21" x14ac:dyDescent="0.2">
      <c r="B15" s="151"/>
      <c r="C15" s="152"/>
      <c r="D15" s="152"/>
      <c r="E15" s="152"/>
      <c r="F15" s="152"/>
      <c r="G15" s="153"/>
      <c r="H15" s="152"/>
      <c r="I15" s="152"/>
      <c r="J15" s="152"/>
      <c r="K15" s="152"/>
      <c r="L15" s="152"/>
      <c r="M15" s="152"/>
      <c r="N15" s="152"/>
      <c r="O15" s="152"/>
      <c r="P15" s="152"/>
      <c r="Q15" s="152"/>
      <c r="R15" s="152"/>
      <c r="S15" s="152"/>
      <c r="T15" s="152"/>
      <c r="U15" s="154"/>
    </row>
    <row r="16" spans="1:21" x14ac:dyDescent="0.2">
      <c r="B16" s="244" t="s">
        <v>265</v>
      </c>
      <c r="C16" s="245"/>
      <c r="D16" s="245"/>
      <c r="E16" s="245"/>
      <c r="F16" s="245"/>
      <c r="G16" s="245"/>
      <c r="H16" s="245"/>
      <c r="I16" s="245"/>
      <c r="J16" s="245"/>
      <c r="K16" s="245"/>
      <c r="L16" s="245"/>
      <c r="M16" s="245"/>
      <c r="N16" s="245"/>
      <c r="O16" s="245"/>
      <c r="P16" s="245"/>
      <c r="Q16" s="245"/>
      <c r="R16" s="245"/>
      <c r="S16" s="245"/>
      <c r="T16" s="245"/>
      <c r="U16" s="251"/>
    </row>
    <row r="17" spans="2:21" x14ac:dyDescent="0.2">
      <c r="B17" s="240" t="s">
        <v>261</v>
      </c>
      <c r="C17" s="241"/>
      <c r="D17" s="161">
        <v>2008</v>
      </c>
      <c r="E17" s="161">
        <v>2009</v>
      </c>
      <c r="F17" s="161">
        <v>2010</v>
      </c>
      <c r="G17" s="161">
        <v>2011</v>
      </c>
      <c r="H17" s="161">
        <v>2012</v>
      </c>
      <c r="I17" s="161">
        <v>2013</v>
      </c>
      <c r="J17" s="161">
        <v>2014</v>
      </c>
      <c r="K17" s="161">
        <v>2015</v>
      </c>
      <c r="L17" s="161">
        <v>2016</v>
      </c>
      <c r="M17" s="161">
        <v>2017</v>
      </c>
      <c r="N17" s="161">
        <v>2018</v>
      </c>
      <c r="O17" s="161">
        <v>2019</v>
      </c>
      <c r="P17" s="161">
        <v>2020</v>
      </c>
      <c r="Q17" s="161">
        <v>2021</v>
      </c>
      <c r="R17" s="161">
        <v>2022</v>
      </c>
      <c r="S17" s="161">
        <v>2023</v>
      </c>
      <c r="T17" s="161">
        <v>2024</v>
      </c>
      <c r="U17" s="165" t="s">
        <v>267</v>
      </c>
    </row>
    <row r="18" spans="2:21" x14ac:dyDescent="0.2">
      <c r="B18" s="249" t="s">
        <v>262</v>
      </c>
      <c r="C18" s="250"/>
      <c r="D18" s="162">
        <v>0.86</v>
      </c>
      <c r="E18" s="162">
        <v>0.86</v>
      </c>
      <c r="F18" s="162">
        <v>0.86</v>
      </c>
      <c r="G18" s="162">
        <v>0.89</v>
      </c>
      <c r="H18" s="162">
        <v>0.91</v>
      </c>
      <c r="I18" s="162">
        <v>0.9</v>
      </c>
      <c r="J18" s="162">
        <v>0.9</v>
      </c>
      <c r="K18" s="163">
        <v>0.88</v>
      </c>
      <c r="L18" s="163">
        <v>0.86</v>
      </c>
      <c r="M18" s="163">
        <v>0.86</v>
      </c>
      <c r="N18" s="163">
        <v>0.85</v>
      </c>
      <c r="O18" s="163">
        <v>0.85</v>
      </c>
      <c r="P18" s="163">
        <v>0.6</v>
      </c>
      <c r="Q18" s="163">
        <v>0.77</v>
      </c>
      <c r="R18" s="164">
        <v>0.8</v>
      </c>
      <c r="S18" s="164">
        <v>0.8</v>
      </c>
      <c r="T18" s="164">
        <v>0.8</v>
      </c>
      <c r="U18" s="166">
        <v>0.8</v>
      </c>
    </row>
    <row r="19" spans="2:21" x14ac:dyDescent="0.2">
      <c r="B19" s="249" t="s">
        <v>263</v>
      </c>
      <c r="C19" s="250"/>
      <c r="D19" s="162">
        <f>78/86</f>
        <v>0.90697674418604646</v>
      </c>
      <c r="E19" s="162">
        <f>78/86</f>
        <v>0.90697674418604646</v>
      </c>
      <c r="F19" s="162">
        <f>78/86</f>
        <v>0.90697674418604646</v>
      </c>
      <c r="G19" s="162">
        <f>83/89</f>
        <v>0.93258426966292129</v>
      </c>
      <c r="H19" s="162">
        <f>0.87/H18</f>
        <v>0.95604395604395598</v>
      </c>
      <c r="I19" s="162">
        <f>0.84/I18</f>
        <v>0.93333333333333324</v>
      </c>
      <c r="J19" s="162">
        <f>0.85/J18</f>
        <v>0.94444444444444442</v>
      </c>
      <c r="K19" s="163">
        <f>0.84/K18</f>
        <v>0.95454545454545447</v>
      </c>
      <c r="L19" s="163">
        <f>0.83/L18</f>
        <v>0.96511627906976738</v>
      </c>
      <c r="M19" s="163">
        <f>0.82/M18</f>
        <v>0.95348837209302317</v>
      </c>
      <c r="N19" s="163">
        <f>0.82/N18</f>
        <v>0.96470588235294119</v>
      </c>
      <c r="O19" s="163">
        <f>0.82/O18</f>
        <v>0.96470588235294119</v>
      </c>
      <c r="P19" s="163">
        <f>0.59/P18</f>
        <v>0.98333333333333328</v>
      </c>
      <c r="Q19" s="163">
        <f>0.59/0.77</f>
        <v>0.76623376623376616</v>
      </c>
      <c r="R19" s="163">
        <f>0.5/0.6</f>
        <v>0.83333333333333337</v>
      </c>
      <c r="S19" s="163">
        <v>0</v>
      </c>
      <c r="T19" s="163">
        <v>0</v>
      </c>
      <c r="U19" s="167">
        <v>0</v>
      </c>
    </row>
    <row r="20" spans="2:21" x14ac:dyDescent="0.2">
      <c r="B20" s="249" t="s">
        <v>264</v>
      </c>
      <c r="C20" s="250"/>
      <c r="D20" s="162">
        <v>1</v>
      </c>
      <c r="E20" s="162">
        <v>1</v>
      </c>
      <c r="F20" s="162">
        <v>1</v>
      </c>
      <c r="G20" s="162">
        <v>1</v>
      </c>
      <c r="H20" s="162">
        <v>1</v>
      </c>
      <c r="I20" s="162">
        <v>1</v>
      </c>
      <c r="J20" s="162">
        <v>0</v>
      </c>
      <c r="K20" s="163">
        <v>0</v>
      </c>
      <c r="L20" s="163">
        <v>0</v>
      </c>
      <c r="M20" s="163">
        <v>0</v>
      </c>
      <c r="N20" s="163">
        <v>0</v>
      </c>
      <c r="O20" s="163">
        <v>0</v>
      </c>
      <c r="P20" s="163">
        <v>0</v>
      </c>
      <c r="Q20" s="163">
        <v>0</v>
      </c>
      <c r="R20" s="163">
        <v>0</v>
      </c>
      <c r="S20" s="163">
        <v>0</v>
      </c>
      <c r="T20" s="163">
        <v>0</v>
      </c>
      <c r="U20" s="167">
        <v>0</v>
      </c>
    </row>
    <row r="21" spans="2:21" ht="16" x14ac:dyDescent="0.2">
      <c r="B21" s="155"/>
      <c r="C21" s="152"/>
      <c r="D21" s="152"/>
      <c r="E21" s="152"/>
      <c r="F21" s="152"/>
      <c r="G21" s="153"/>
      <c r="H21" s="152"/>
      <c r="I21" s="152"/>
      <c r="J21" s="152"/>
      <c r="K21" s="152"/>
      <c r="L21" s="152"/>
      <c r="M21" s="152"/>
      <c r="N21" s="152"/>
      <c r="O21" s="152"/>
      <c r="P21" s="152"/>
      <c r="Q21" s="152"/>
      <c r="R21" s="152"/>
      <c r="S21" s="152"/>
      <c r="T21" s="152"/>
      <c r="U21" s="154"/>
    </row>
    <row r="22" spans="2:21" x14ac:dyDescent="0.2">
      <c r="B22" s="244" t="s">
        <v>268</v>
      </c>
      <c r="C22" s="245"/>
      <c r="D22" s="245"/>
      <c r="E22" s="245"/>
      <c r="F22" s="245"/>
      <c r="G22" s="245"/>
      <c r="H22" s="245"/>
      <c r="I22" s="245"/>
      <c r="J22" s="245"/>
      <c r="K22" s="156"/>
      <c r="L22" s="156"/>
      <c r="M22" s="156"/>
      <c r="N22" s="156"/>
      <c r="O22" s="156"/>
      <c r="P22" s="156"/>
      <c r="Q22" s="156"/>
      <c r="R22" s="156"/>
      <c r="S22" s="156"/>
      <c r="T22" s="156"/>
      <c r="U22" s="157"/>
    </row>
    <row r="23" spans="2:21" x14ac:dyDescent="0.2">
      <c r="B23" s="240" t="s">
        <v>261</v>
      </c>
      <c r="C23" s="241"/>
      <c r="D23" s="161">
        <v>2019</v>
      </c>
      <c r="E23" s="161">
        <v>2020</v>
      </c>
      <c r="F23" s="161">
        <v>2021</v>
      </c>
      <c r="G23" s="161">
        <v>2022</v>
      </c>
      <c r="H23" s="161">
        <v>2023</v>
      </c>
      <c r="I23" s="161">
        <v>2024</v>
      </c>
      <c r="J23" s="160" t="s">
        <v>267</v>
      </c>
      <c r="K23" s="152"/>
      <c r="L23" s="152"/>
      <c r="M23" s="152"/>
      <c r="N23" s="152"/>
      <c r="O23" s="152"/>
      <c r="P23" s="152"/>
      <c r="Q23" s="152"/>
      <c r="R23" s="152"/>
      <c r="S23" s="152"/>
      <c r="T23" s="152"/>
      <c r="U23" s="154"/>
    </row>
    <row r="24" spans="2:21" x14ac:dyDescent="0.2">
      <c r="B24" s="240" t="s">
        <v>262</v>
      </c>
      <c r="C24" s="241"/>
      <c r="D24" s="162">
        <f>E24</f>
        <v>0.53</v>
      </c>
      <c r="E24" s="163">
        <v>0.53</v>
      </c>
      <c r="F24" s="163">
        <v>0.71</v>
      </c>
      <c r="G24" s="163">
        <v>0.8</v>
      </c>
      <c r="H24" s="163">
        <v>0.8</v>
      </c>
      <c r="I24" s="163">
        <v>0.8</v>
      </c>
      <c r="J24" s="164">
        <v>0.8</v>
      </c>
      <c r="K24" s="152"/>
      <c r="L24" s="152"/>
      <c r="M24" s="152"/>
      <c r="N24" s="156" t="s">
        <v>270</v>
      </c>
      <c r="O24" s="152"/>
      <c r="P24" s="152"/>
      <c r="Q24" s="152"/>
      <c r="R24" s="152"/>
      <c r="S24" s="152"/>
      <c r="T24" s="152"/>
      <c r="U24" s="154"/>
    </row>
    <row r="25" spans="2:21" x14ac:dyDescent="0.2">
      <c r="B25" s="240" t="s">
        <v>263</v>
      </c>
      <c r="C25" s="241"/>
      <c r="D25" s="162">
        <f>E25</f>
        <v>0.35830985915492958</v>
      </c>
      <c r="E25" s="163">
        <f>0.48/0.71*0.53</f>
        <v>0.35830985915492958</v>
      </c>
      <c r="F25" s="163">
        <v>0.48</v>
      </c>
      <c r="G25" s="163">
        <f>F25/F24*G24</f>
        <v>0.54084507042253527</v>
      </c>
      <c r="H25" s="163">
        <v>0</v>
      </c>
      <c r="I25" s="163">
        <v>0</v>
      </c>
      <c r="J25" s="163">
        <v>0</v>
      </c>
      <c r="K25" s="152"/>
      <c r="L25" s="152"/>
      <c r="M25" s="152"/>
      <c r="N25" s="152"/>
      <c r="O25" s="152"/>
      <c r="P25" s="152"/>
      <c r="Q25" s="152"/>
      <c r="R25" s="152"/>
      <c r="S25" s="152"/>
      <c r="T25" s="152"/>
      <c r="U25" s="154"/>
    </row>
    <row r="26" spans="2:21" ht="15" thickBot="1" x14ac:dyDescent="0.25">
      <c r="B26" s="242" t="s">
        <v>264</v>
      </c>
      <c r="C26" s="243"/>
      <c r="D26" s="168">
        <v>0</v>
      </c>
      <c r="E26" s="168">
        <v>0</v>
      </c>
      <c r="F26" s="168">
        <v>0</v>
      </c>
      <c r="G26" s="168">
        <v>0</v>
      </c>
      <c r="H26" s="168">
        <v>0</v>
      </c>
      <c r="I26" s="168">
        <v>0</v>
      </c>
      <c r="J26" s="168">
        <v>0</v>
      </c>
      <c r="K26" s="158"/>
      <c r="L26" s="158"/>
      <c r="M26" s="158"/>
      <c r="N26" s="158"/>
      <c r="O26" s="158"/>
      <c r="P26" s="158"/>
      <c r="Q26" s="158"/>
      <c r="R26" s="158"/>
      <c r="S26" s="158"/>
      <c r="T26" s="158"/>
      <c r="U26" s="159"/>
    </row>
    <row r="28" spans="2:21" x14ac:dyDescent="0.2">
      <c r="M28" s="7" t="s">
        <v>323</v>
      </c>
    </row>
    <row r="29" spans="2:21" x14ac:dyDescent="0.2">
      <c r="E29" s="184"/>
      <c r="F29" s="184"/>
      <c r="G29" s="184"/>
      <c r="H29" s="184"/>
      <c r="I29" s="184"/>
      <c r="J29" s="184"/>
    </row>
    <row r="30" spans="2:21" x14ac:dyDescent="0.2">
      <c r="E30" s="184"/>
      <c r="F30" s="184"/>
      <c r="G30" s="184"/>
      <c r="H30" s="184"/>
      <c r="I30" s="184"/>
      <c r="J30" s="184"/>
    </row>
    <row r="31" spans="2:21" x14ac:dyDescent="0.2">
      <c r="E31" s="184"/>
      <c r="F31" s="184"/>
      <c r="G31" s="184"/>
      <c r="H31" s="184"/>
      <c r="I31" s="184"/>
      <c r="J31" s="184"/>
    </row>
  </sheetData>
  <mergeCells count="32">
    <mergeCell ref="C11:F11"/>
    <mergeCell ref="I2:K3"/>
    <mergeCell ref="C7:F7"/>
    <mergeCell ref="I7:K7"/>
    <mergeCell ref="I4:K4"/>
    <mergeCell ref="C5:F5"/>
    <mergeCell ref="C6:F6"/>
    <mergeCell ref="C8:F8"/>
    <mergeCell ref="C9:F9"/>
    <mergeCell ref="C10:F10"/>
    <mergeCell ref="G2:G3"/>
    <mergeCell ref="H2:H3"/>
    <mergeCell ref="B2:B3"/>
    <mergeCell ref="C2:F3"/>
    <mergeCell ref="C4:F4"/>
    <mergeCell ref="B24:C24"/>
    <mergeCell ref="B25:C25"/>
    <mergeCell ref="B26:C26"/>
    <mergeCell ref="B22:J22"/>
    <mergeCell ref="B14:U14"/>
    <mergeCell ref="B17:C17"/>
    <mergeCell ref="B18:C18"/>
    <mergeCell ref="B19:C19"/>
    <mergeCell ref="B20:C20"/>
    <mergeCell ref="B23:C23"/>
    <mergeCell ref="B16:U16"/>
    <mergeCell ref="I11:K11"/>
    <mergeCell ref="I5:K5"/>
    <mergeCell ref="I6:K6"/>
    <mergeCell ref="I8:K8"/>
    <mergeCell ref="I9:K9"/>
    <mergeCell ref="I10:K10"/>
  </mergeCells>
  <pageMargins left="0.7" right="0.7" top="0.75" bottom="0.75" header="0.3" footer="0.3"/>
  <pageSetup paperSize="9" fitToWidth="0" fitToHeight="0"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92FA-EF80-0944-A988-9D9A31764F29}">
  <dimension ref="B1:H29"/>
  <sheetViews>
    <sheetView tabSelected="1" zoomScale="125" zoomScaleNormal="100" workbookViewId="0">
      <selection activeCell="B15" sqref="B15"/>
    </sheetView>
  </sheetViews>
  <sheetFormatPr baseColWidth="10" defaultRowHeight="16" x14ac:dyDescent="0.2"/>
  <cols>
    <col min="2" max="2" width="17.5" bestFit="1" customWidth="1"/>
    <col min="3" max="3" width="33.6640625" bestFit="1" customWidth="1"/>
    <col min="4" max="4" width="12.1640625" bestFit="1" customWidth="1"/>
    <col min="5" max="5" width="15.33203125" bestFit="1" customWidth="1"/>
    <col min="6" max="6" width="37.6640625" bestFit="1" customWidth="1"/>
    <col min="7" max="7" width="37.6640625" customWidth="1"/>
    <col min="8" max="8" width="23.33203125" bestFit="1" customWidth="1"/>
  </cols>
  <sheetData>
    <row r="1" spans="2:8" ht="17" thickBot="1" x14ac:dyDescent="0.25"/>
    <row r="2" spans="2:8" ht="17" thickBot="1" x14ac:dyDescent="0.25">
      <c r="B2" s="175" t="s">
        <v>258</v>
      </c>
      <c r="C2" s="176" t="s">
        <v>255</v>
      </c>
      <c r="D2" s="176" t="s">
        <v>256</v>
      </c>
      <c r="E2" s="176" t="s">
        <v>257</v>
      </c>
      <c r="F2" s="177" t="s">
        <v>10</v>
      </c>
      <c r="G2" s="176" t="s">
        <v>294</v>
      </c>
      <c r="H2" s="178" t="s">
        <v>297</v>
      </c>
    </row>
    <row r="3" spans="2:8" x14ac:dyDescent="0.2">
      <c r="B3" s="277" t="s">
        <v>254</v>
      </c>
      <c r="C3" s="278"/>
      <c r="D3" s="278"/>
      <c r="E3" s="278"/>
      <c r="F3" s="279"/>
      <c r="G3" s="171"/>
      <c r="H3" s="67"/>
    </row>
    <row r="4" spans="2:8" x14ac:dyDescent="0.2">
      <c r="B4" s="68" t="s">
        <v>149</v>
      </c>
      <c r="C4" t="s">
        <v>259</v>
      </c>
      <c r="D4">
        <v>0.8</v>
      </c>
      <c r="E4" s="172">
        <v>0.65</v>
      </c>
      <c r="F4" s="173"/>
      <c r="G4">
        <v>2</v>
      </c>
      <c r="H4" s="67">
        <f>G4</f>
        <v>2</v>
      </c>
    </row>
    <row r="5" spans="2:8" x14ac:dyDescent="0.2">
      <c r="B5" s="277" t="s">
        <v>271</v>
      </c>
      <c r="C5" s="278"/>
      <c r="D5" s="278"/>
      <c r="E5" s="278"/>
      <c r="F5" s="279"/>
      <c r="G5" s="171"/>
      <c r="H5" s="67"/>
    </row>
    <row r="6" spans="2:8" x14ac:dyDescent="0.2">
      <c r="B6" s="68" t="s">
        <v>172</v>
      </c>
      <c r="C6" t="s">
        <v>272</v>
      </c>
      <c r="D6">
        <v>0.8</v>
      </c>
      <c r="E6" s="172" t="s">
        <v>273</v>
      </c>
      <c r="F6" s="174" t="s">
        <v>283</v>
      </c>
      <c r="G6" s="179">
        <v>3</v>
      </c>
      <c r="H6" s="67">
        <f>H4*G6</f>
        <v>6</v>
      </c>
    </row>
    <row r="7" spans="2:8" x14ac:dyDescent="0.2">
      <c r="B7" s="277" t="s">
        <v>284</v>
      </c>
      <c r="C7" s="278"/>
      <c r="D7" s="278"/>
      <c r="E7" s="278"/>
      <c r="F7" s="279"/>
      <c r="G7" s="171"/>
      <c r="H7" s="67"/>
    </row>
    <row r="8" spans="2:8" x14ac:dyDescent="0.2">
      <c r="B8" s="181" t="s">
        <v>172</v>
      </c>
      <c r="C8" s="183" t="s">
        <v>306</v>
      </c>
      <c r="D8" s="182">
        <v>0.68</v>
      </c>
      <c r="E8" s="182" t="s">
        <v>308</v>
      </c>
      <c r="F8" s="276" t="s">
        <v>310</v>
      </c>
      <c r="G8" s="171"/>
      <c r="H8" s="67"/>
    </row>
    <row r="9" spans="2:8" x14ac:dyDescent="0.2">
      <c r="B9" s="181" t="s">
        <v>172</v>
      </c>
      <c r="C9" s="183" t="s">
        <v>307</v>
      </c>
      <c r="D9" s="182">
        <v>0.76</v>
      </c>
      <c r="E9" s="182" t="s">
        <v>309</v>
      </c>
      <c r="F9" s="276"/>
      <c r="G9" s="171"/>
      <c r="H9" s="67"/>
    </row>
    <row r="10" spans="2:8" ht="16" customHeight="1" x14ac:dyDescent="0.2">
      <c r="B10" s="68" t="s">
        <v>172</v>
      </c>
      <c r="C10" s="74" t="s">
        <v>162</v>
      </c>
      <c r="D10">
        <v>0.8</v>
      </c>
      <c r="E10" s="172" t="s">
        <v>285</v>
      </c>
      <c r="F10" s="276"/>
      <c r="G10" s="274">
        <v>3</v>
      </c>
      <c r="H10" s="272">
        <f>H6*G10</f>
        <v>18</v>
      </c>
    </row>
    <row r="11" spans="2:8" x14ac:dyDescent="0.2">
      <c r="B11" s="68" t="s">
        <v>172</v>
      </c>
      <c r="C11" t="s">
        <v>163</v>
      </c>
      <c r="D11">
        <v>0.8</v>
      </c>
      <c r="E11" s="172" t="s">
        <v>285</v>
      </c>
      <c r="F11" s="276"/>
      <c r="G11" s="274"/>
      <c r="H11" s="272"/>
    </row>
    <row r="12" spans="2:8" x14ac:dyDescent="0.2">
      <c r="B12" s="68" t="s">
        <v>172</v>
      </c>
      <c r="C12" t="s">
        <v>167</v>
      </c>
      <c r="D12">
        <v>0.9</v>
      </c>
      <c r="E12" s="172" t="s">
        <v>293</v>
      </c>
      <c r="F12" s="276"/>
      <c r="G12" s="274"/>
      <c r="H12" s="272"/>
    </row>
    <row r="13" spans="2:8" x14ac:dyDescent="0.2">
      <c r="B13" s="68" t="s">
        <v>172</v>
      </c>
      <c r="C13" t="s">
        <v>168</v>
      </c>
      <c r="D13">
        <v>0.9</v>
      </c>
      <c r="E13" s="172" t="s">
        <v>286</v>
      </c>
      <c r="F13" s="276"/>
      <c r="G13" s="274"/>
      <c r="H13" s="272"/>
    </row>
    <row r="14" spans="2:8" x14ac:dyDescent="0.2">
      <c r="B14" s="277" t="s">
        <v>325</v>
      </c>
      <c r="C14" s="278"/>
      <c r="D14" s="278"/>
      <c r="E14" s="278"/>
      <c r="F14" s="279"/>
      <c r="G14" s="180"/>
      <c r="H14" s="67"/>
    </row>
    <row r="15" spans="2:8" x14ac:dyDescent="0.2">
      <c r="B15" s="68" t="s">
        <v>157</v>
      </c>
      <c r="C15" t="s">
        <v>289</v>
      </c>
      <c r="D15">
        <v>0.1</v>
      </c>
      <c r="E15">
        <v>0</v>
      </c>
      <c r="F15" s="276" t="s">
        <v>292</v>
      </c>
      <c r="G15" s="274">
        <v>2</v>
      </c>
      <c r="H15" s="272">
        <f>H10*G15</f>
        <v>36</v>
      </c>
    </row>
    <row r="16" spans="2:8" x14ac:dyDescent="0.2">
      <c r="B16" s="68" t="s">
        <v>157</v>
      </c>
      <c r="C16" t="s">
        <v>290</v>
      </c>
      <c r="D16">
        <v>0.1</v>
      </c>
      <c r="E16">
        <v>0</v>
      </c>
      <c r="F16" s="276"/>
      <c r="G16" s="274"/>
      <c r="H16" s="272"/>
    </row>
    <row r="17" spans="2:8" ht="17" thickBot="1" x14ac:dyDescent="0.25">
      <c r="B17" s="69" t="s">
        <v>157</v>
      </c>
      <c r="C17" s="70" t="s">
        <v>291</v>
      </c>
      <c r="D17" s="70">
        <v>0.1</v>
      </c>
      <c r="E17" s="70">
        <v>0</v>
      </c>
      <c r="F17" s="280"/>
      <c r="G17" s="275"/>
      <c r="H17" s="273"/>
    </row>
    <row r="18" spans="2:8" ht="17" thickBot="1" x14ac:dyDescent="0.25"/>
    <row r="19" spans="2:8" x14ac:dyDescent="0.2">
      <c r="F19" s="169" t="s">
        <v>295</v>
      </c>
      <c r="G19" s="170">
        <f>G4+G6+G10+G15</f>
        <v>10</v>
      </c>
    </row>
    <row r="20" spans="2:8" ht="17" thickBot="1" x14ac:dyDescent="0.25">
      <c r="F20" s="69" t="s">
        <v>296</v>
      </c>
      <c r="G20" s="71">
        <f>H15</f>
        <v>36</v>
      </c>
    </row>
    <row r="22" spans="2:8" x14ac:dyDescent="0.2">
      <c r="C22" s="233" t="s">
        <v>312</v>
      </c>
      <c r="D22" s="233"/>
      <c r="E22" s="233"/>
      <c r="F22" s="233"/>
      <c r="G22" s="233"/>
    </row>
    <row r="23" spans="2:8" x14ac:dyDescent="0.2">
      <c r="C23" s="233"/>
      <c r="D23" s="233"/>
      <c r="E23" s="233"/>
      <c r="F23" s="233"/>
      <c r="G23" s="233"/>
    </row>
    <row r="24" spans="2:8" x14ac:dyDescent="0.2">
      <c r="C24" s="233"/>
      <c r="D24" s="233"/>
      <c r="E24" s="233"/>
      <c r="F24" s="233"/>
      <c r="G24" s="233"/>
    </row>
    <row r="27" spans="2:8" x14ac:dyDescent="0.2">
      <c r="C27" s="271" t="s">
        <v>322</v>
      </c>
      <c r="D27" s="271"/>
      <c r="E27" s="271"/>
      <c r="F27" s="271"/>
      <c r="G27" s="271"/>
      <c r="H27" s="271"/>
    </row>
    <row r="28" spans="2:8" x14ac:dyDescent="0.2">
      <c r="C28" s="271"/>
      <c r="D28" s="271"/>
      <c r="E28" s="271"/>
      <c r="F28" s="271"/>
      <c r="G28" s="271"/>
      <c r="H28" s="271"/>
    </row>
    <row r="29" spans="2:8" x14ac:dyDescent="0.2">
      <c r="C29" s="271"/>
      <c r="D29" s="271"/>
      <c r="E29" s="271"/>
      <c r="F29" s="271"/>
      <c r="G29" s="271"/>
      <c r="H29" s="271"/>
    </row>
  </sheetData>
  <mergeCells count="12">
    <mergeCell ref="B5:F5"/>
    <mergeCell ref="B3:F3"/>
    <mergeCell ref="B7:F7"/>
    <mergeCell ref="F15:F17"/>
    <mergeCell ref="B14:F14"/>
    <mergeCell ref="C27:H29"/>
    <mergeCell ref="H10:H13"/>
    <mergeCell ref="H15:H17"/>
    <mergeCell ref="G10:G13"/>
    <mergeCell ref="G15:G17"/>
    <mergeCell ref="F8:F13"/>
    <mergeCell ref="C22:G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States</vt:lpstr>
      <vt:lpstr>Core</vt:lpstr>
      <vt:lpstr>Diagnostics (bio)</vt:lpstr>
      <vt:lpstr>Vaccinations (bio)</vt:lpstr>
      <vt:lpstr>Treatments (bio)</vt:lpstr>
      <vt:lpstr>Compliance (socio)</vt:lpstr>
      <vt:lpstr>Sensitivity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Sturman</dc:creator>
  <cp:lastModifiedBy>Fabian Sturman</cp:lastModifiedBy>
  <dcterms:created xsi:type="dcterms:W3CDTF">2025-11-28T13:08:53Z</dcterms:created>
  <dcterms:modified xsi:type="dcterms:W3CDTF">2026-01-18T22:39:15Z</dcterms:modified>
</cp:coreProperties>
</file>